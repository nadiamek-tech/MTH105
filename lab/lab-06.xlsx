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mo" sheetId="1" state="visible" r:id="rId1"/>
    <sheet xmlns:r="http://schemas.openxmlformats.org/officeDocument/2006/relationships" name="Q1" sheetId="2" state="visible" r:id="rId2"/>
    <sheet xmlns:r="http://schemas.openxmlformats.org/officeDocument/2006/relationships" name="Q2" sheetId="3" state="visible" r:id="rId3"/>
    <sheet xmlns:r="http://schemas.openxmlformats.org/officeDocument/2006/relationships" name="Q3" sheetId="4" state="visible" r:id="rId4"/>
    <sheet xmlns:r="http://schemas.openxmlformats.org/officeDocument/2006/relationships" name="Q4" sheetId="5" state="visible" r:id="rId5"/>
    <sheet xmlns:r="http://schemas.openxmlformats.org/officeDocument/2006/relationships" name="Data" sheetId="6" state="visible" r:id="rId6"/>
    <sheet xmlns:r="http://schemas.openxmlformats.org/officeDocument/2006/relationships" name="Q5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000000"/>
      <sz val="11"/>
    </font>
    <font>
      <b val="1"/>
      <color rgb="00000000"/>
      <sz val="11"/>
    </font>
    <font>
      <b val="1"/>
      <color rgb="00FFFFFF"/>
    </font>
    <font>
      <b val="1"/>
    </font>
    <font>
      <name val="Consolas"/>
      <color rgb="001F3864"/>
    </font>
    <font>
      <color rgb="00000000"/>
      <sz val="11"/>
    </font>
    <font>
      <i val="1"/>
      <color rgb="00595959"/>
      <sz val="11"/>
    </font>
    <font>
      <i val="1"/>
      <color rgb="00595959"/>
    </font>
    <font>
      <i val="1"/>
      <color rgb="007F7F7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F5597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59D"/>
      </patternFill>
    </fill>
    <fill>
      <patternFill patternType="solid">
        <fgColor rgb="00FFCC80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7F7F7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3" fillId="3" borderId="0" applyAlignment="1" pivotButton="0" quotePrefix="0" xfId="0">
      <alignment vertical="center" wrapText="1" indent="1"/>
    </xf>
    <xf numFmtId="0" fontId="0" fillId="3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vertical="top" wrapText="1"/>
    </xf>
    <xf numFmtId="164" fontId="5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 indent="1"/>
    </xf>
    <xf numFmtId="0" fontId="8" fillId="0" borderId="0" applyAlignment="1" pivotButton="0" quotePrefix="0" xfId="0">
      <alignment vertical="center" wrapText="1" indent="1"/>
    </xf>
    <xf numFmtId="0" fontId="5" fillId="0" borderId="0" pivotButton="0" quotePrefix="0" xfId="0"/>
    <xf numFmtId="0" fontId="0" fillId="0" borderId="2" pivotButton="0" quotePrefix="0" xfId="0"/>
    <xf numFmtId="0" fontId="7" fillId="3" borderId="0" applyAlignment="1" pivotButton="0" quotePrefix="0" xfId="0">
      <alignment vertical="center" wrapText="1" inden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center" wrapText="1" indent="1"/>
    </xf>
    <xf numFmtId="0" fontId="7" fillId="7" borderId="0" applyAlignment="1" pivotButton="0" quotePrefix="0" xfId="0">
      <alignment vertical="center" wrapText="1" indent="1"/>
    </xf>
    <xf numFmtId="0" fontId="0" fillId="7" borderId="0" pivotButton="0" quotePrefix="0" xfId="0"/>
    <xf numFmtId="0" fontId="7" fillId="8" borderId="0" applyAlignment="1" pivotButton="0" quotePrefix="0" xfId="0">
      <alignment vertical="center" wrapText="1" indent="1"/>
    </xf>
    <xf numFmtId="0" fontId="0" fillId="8" borderId="0" pivotButton="0" quotePrefix="0" xfId="0"/>
    <xf numFmtId="0" fontId="10" fillId="5" borderId="1" applyAlignment="1" pivotButton="0" quotePrefix="0" xfId="0">
      <alignment vertical="top" wrapText="1"/>
    </xf>
    <xf numFmtId="0" fontId="3" fillId="7" borderId="0" applyAlignment="1" pivotButton="0" quotePrefix="0" xfId="0">
      <alignment vertical="center" wrapText="1" indent="1"/>
    </xf>
    <xf numFmtId="0" fontId="0" fillId="7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0" fillId="7" borderId="1" pivotButton="0" quotePrefix="0" xfId="0"/>
    <xf numFmtId="0" fontId="4" fillId="4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34" customWidth="1" min="3" max="3"/>
    <col width="32" customWidth="1" min="4" max="4"/>
    <col width="40" customWidth="1" min="5" max="5"/>
    <col width="13" customWidth="1" min="6" max="6"/>
    <col width="42" customWidth="1" min="7" max="7"/>
  </cols>
  <sheetData>
    <row r="1"/>
    <row r="2" ht="30" customHeight="1">
      <c r="B2" s="1" t="inlineStr">
        <is>
          <t>LAB 6 · PROBABILITY — Demonstration (we solve this one together)</t>
        </is>
      </c>
    </row>
    <row r="3">
      <c r="B3" s="2" t="inlineStr">
        <is>
          <t>Watch each step, then click a green Result cell to see the formula. Solve Q1–Q5 the same way. Data are illustrative.</t>
        </is>
      </c>
    </row>
    <row r="4"/>
    <row r="5" ht="22" customHeight="1">
      <c r="B5" s="3" t="inlineStr">
        <is>
          <t>1 · THE RULES</t>
        </is>
      </c>
      <c r="C5" s="4" t="n"/>
      <c r="D5" s="4" t="n"/>
      <c r="E5" s="4" t="n"/>
      <c r="F5" s="4" t="n"/>
      <c r="G5" s="4" t="n"/>
    </row>
    <row r="6" ht="22" customHeight="1">
      <c r="B6" s="5" t="n"/>
      <c r="C6" s="6" t="inlineStr">
        <is>
          <t>Rule</t>
        </is>
      </c>
      <c r="D6" s="6" t="inlineStr">
        <is>
          <t>Formula</t>
        </is>
      </c>
      <c r="E6" s="6" t="inlineStr">
        <is>
          <t>In Excel</t>
        </is>
      </c>
      <c r="F6" s="5" t="n"/>
      <c r="G6" s="5" t="n"/>
    </row>
    <row r="7" ht="20" customHeight="1">
      <c r="C7" s="7" t="inlineStr">
        <is>
          <t>Basic</t>
        </is>
      </c>
      <c r="D7" s="8" t="inlineStr">
        <is>
          <t>P(A) = favourable ÷ total</t>
        </is>
      </c>
      <c r="E7" s="8" t="inlineStr">
        <is>
          <t>cell ÷ grand total</t>
        </is>
      </c>
    </row>
    <row r="8" ht="20" customHeight="1">
      <c r="C8" s="7" t="inlineStr">
        <is>
          <t>Complement</t>
        </is>
      </c>
      <c r="D8" s="8" t="inlineStr">
        <is>
          <t>P(A') = 1 − P(A)</t>
        </is>
      </c>
      <c r="E8" s="8" t="inlineStr">
        <is>
          <t>1 − the cell with P(A)</t>
        </is>
      </c>
    </row>
    <row r="9" ht="20" customHeight="1">
      <c r="C9" s="7" t="inlineStr">
        <is>
          <t>And</t>
        </is>
      </c>
      <c r="D9" s="8" t="inlineStr">
        <is>
          <t>P(A and B) = count in both ÷ grand total</t>
        </is>
      </c>
      <c r="E9" s="8" t="inlineStr">
        <is>
          <t>the inside cell ÷ grand total</t>
        </is>
      </c>
    </row>
    <row r="10" ht="20" customHeight="1">
      <c r="C10" s="7" t="inlineStr">
        <is>
          <t>Or</t>
        </is>
      </c>
      <c r="D10" s="8" t="inlineStr">
        <is>
          <t>P(A or B) = P(A) + P(B) − P(A and B)</t>
        </is>
      </c>
      <c r="E10" s="8" t="inlineStr">
        <is>
          <t>add two, subtract the overlap</t>
        </is>
      </c>
    </row>
    <row r="11" ht="20" customHeight="1">
      <c r="C11" s="7" t="inlineStr">
        <is>
          <t>Given</t>
        </is>
      </c>
      <c r="D11" s="8" t="inlineStr">
        <is>
          <t>P(A | B) = P(A and B) ÷ P(B)</t>
        </is>
      </c>
      <c r="E11" s="8" t="inlineStr">
        <is>
          <t>the inside cell ÷ the total of B only</t>
        </is>
      </c>
    </row>
    <row r="12" ht="20" customHeight="1">
      <c r="C12" s="7" t="inlineStr">
        <is>
          <t>Independent?</t>
        </is>
      </c>
      <c r="D12" s="8" t="inlineStr">
        <is>
          <t>P(A and B) = P(A) × P(B)</t>
        </is>
      </c>
      <c r="E12" s="8" t="inlineStr">
        <is>
          <t>IF(ROUND(…,4)=ROUND(…,4),"Yes","No")</t>
        </is>
      </c>
    </row>
    <row r="13" ht="20" customHeight="1">
      <c r="C13" s="7" t="inlineStr">
        <is>
          <t>Mutually exclusive?</t>
        </is>
      </c>
      <c r="D13" s="8" t="inlineStr">
        <is>
          <t>P(A and B) = 0</t>
        </is>
      </c>
      <c r="E13" s="8" t="inlineStr">
        <is>
          <t>IF(inside cell=0,"Yes","No")</t>
        </is>
      </c>
    </row>
    <row r="14" ht="20" customHeight="1">
      <c r="C14" s="7" t="inlineStr">
        <is>
          <t>Without replacement</t>
        </is>
      </c>
      <c r="D14" s="8" t="inlineStr">
        <is>
          <t>multiply along the branch; the total goes down by 1</t>
        </is>
      </c>
      <c r="E14" s="8" t="inlineStr">
        <is>
          <t>(first ÷ total) × (second ÷ (total − 1))</t>
        </is>
      </c>
    </row>
    <row r="15" ht="20" customHeight="1">
      <c r="C15" s="7" t="inlineStr">
        <is>
          <t>E(X)</t>
        </is>
      </c>
      <c r="D15" s="8" t="inlineStr">
        <is>
          <t>E(X) = Σ x·P(x)</t>
        </is>
      </c>
      <c r="E15" s="8" t="inlineStr">
        <is>
          <t>SUMPRODUCT(x range, P(x) range)</t>
        </is>
      </c>
    </row>
    <row r="16" ht="20" customHeight="1">
      <c r="C16" s="7" t="inlineStr">
        <is>
          <t>Var(X), SD</t>
        </is>
      </c>
      <c r="D16" s="8" t="inlineStr">
        <is>
          <t>Var = Σ (x − μ)²·P(x);  SD = √Var</t>
        </is>
      </c>
      <c r="E16" s="8" t="inlineStr">
        <is>
          <t>SUM of a (x − μ)²·P(x) column; SQRT</t>
        </is>
      </c>
    </row>
    <row r="17"/>
    <row r="18" ht="22" customHeight="1">
      <c r="B18" s="3" t="inlineStr">
        <is>
          <t>2 · DEMONSTRATION · Part A — A café records 150 customers: drink type and time of visit</t>
        </is>
      </c>
      <c r="C18" s="4" t="n"/>
      <c r="D18" s="4" t="n"/>
      <c r="E18" s="4" t="n"/>
      <c r="F18" s="4" t="n"/>
      <c r="G18" s="4" t="n"/>
    </row>
    <row r="19"/>
    <row r="20">
      <c r="C20" s="6" t="inlineStr"/>
      <c r="D20" s="6" t="inlineStr">
        <is>
          <t>Hot</t>
        </is>
      </c>
      <c r="E20" s="6" t="inlineStr">
        <is>
          <t>Iced</t>
        </is>
      </c>
      <c r="F20" s="6" t="inlineStr">
        <is>
          <t>Total</t>
        </is>
      </c>
    </row>
    <row r="21">
      <c r="C21" s="9" t="inlineStr">
        <is>
          <t>Morning</t>
        </is>
      </c>
      <c r="D21" s="10" t="n">
        <v>50</v>
      </c>
      <c r="E21" s="10" t="n">
        <v>20</v>
      </c>
      <c r="F21" s="9" t="n">
        <v>70</v>
      </c>
    </row>
    <row r="22">
      <c r="C22" s="9" t="inlineStr">
        <is>
          <t>Afternoon</t>
        </is>
      </c>
      <c r="D22" s="10" t="n">
        <v>30</v>
      </c>
      <c r="E22" s="10" t="n">
        <v>50</v>
      </c>
      <c r="F22" s="9" t="n">
        <v>80</v>
      </c>
    </row>
    <row r="23">
      <c r="C23" s="9" t="inlineStr">
        <is>
          <t>Total</t>
        </is>
      </c>
      <c r="D23" s="9" t="n">
        <v>80</v>
      </c>
      <c r="E23" s="9" t="n">
        <v>70</v>
      </c>
      <c r="F23" s="9" t="n">
        <v>150</v>
      </c>
    </row>
    <row r="24"/>
    <row r="25" ht="22" customHeight="1">
      <c r="B25" s="6" t="inlineStr">
        <is>
          <t>Step</t>
        </is>
      </c>
      <c r="C25" s="6" t="inlineStr">
        <is>
          <t>What we want</t>
        </is>
      </c>
      <c r="D25" s="6" t="inlineStr">
        <is>
          <t>Rule</t>
        </is>
      </c>
      <c r="E25" s="6" t="inlineStr">
        <is>
          <t>Excel formula</t>
        </is>
      </c>
      <c r="F25" s="6" t="inlineStr">
        <is>
          <t>Result</t>
        </is>
      </c>
      <c r="G25" s="6" t="inlineStr">
        <is>
          <t>What it means</t>
        </is>
      </c>
    </row>
    <row r="26" ht="34" customHeight="1">
      <c r="B26" s="11" t="inlineStr">
        <is>
          <t>1</t>
        </is>
      </c>
      <c r="C26" s="8" t="inlineStr">
        <is>
          <t>P(Hot)</t>
        </is>
      </c>
      <c r="D26" s="8" t="inlineStr">
        <is>
          <t>Basic rule</t>
        </is>
      </c>
      <c r="E26" s="12" t="inlineStr">
        <is>
          <t>=D23/F23</t>
        </is>
      </c>
      <c r="F26" s="13">
        <f>D23/F23</f>
        <v/>
      </c>
      <c r="G26" s="8" t="inlineStr">
        <is>
          <t>About half the customers order a hot drink.</t>
        </is>
      </c>
    </row>
    <row r="27" ht="34" customHeight="1">
      <c r="B27" s="11" t="inlineStr">
        <is>
          <t>2</t>
        </is>
      </c>
      <c r="C27" s="8" t="inlineStr">
        <is>
          <t>P(Morning and Iced)</t>
        </is>
      </c>
      <c r="D27" s="8" t="inlineStr">
        <is>
          <t>"and" → inside cell</t>
        </is>
      </c>
      <c r="E27" s="12" t="inlineStr">
        <is>
          <t>=E21/F23</t>
        </is>
      </c>
      <c r="F27" s="13">
        <f>E21/F23</f>
        <v/>
      </c>
      <c r="G27" s="8" t="inlineStr">
        <is>
          <t>Inside cell where Morning meets Iced.</t>
        </is>
      </c>
    </row>
    <row r="28" ht="34" customHeight="1">
      <c r="B28" s="11" t="inlineStr">
        <is>
          <t>3</t>
        </is>
      </c>
      <c r="C28" s="8" t="inlineStr">
        <is>
          <t>P(Hot or Afternoon)</t>
        </is>
      </c>
      <c r="D28" s="8" t="inlineStr">
        <is>
          <t>Addition rule</t>
        </is>
      </c>
      <c r="E28" s="12" t="inlineStr">
        <is>
          <t>=D23/F23+F22/F23-D22/F23</t>
        </is>
      </c>
      <c r="F28" s="13">
        <f>D23/F23+F22/F23-D22/F23</f>
        <v/>
      </c>
      <c r="G28" s="8" t="inlineStr">
        <is>
          <t>Subtract the overlap, or it is counted twice.</t>
        </is>
      </c>
    </row>
    <row r="29" ht="34" customHeight="1">
      <c r="B29" s="11" t="inlineStr">
        <is>
          <t>4</t>
        </is>
      </c>
      <c r="C29" s="8" t="inlineStr">
        <is>
          <t>P(Iced | Afternoon)</t>
        </is>
      </c>
      <c r="D29" s="8" t="inlineStr">
        <is>
          <t>"given" → divide by that total</t>
        </is>
      </c>
      <c r="E29" s="12" t="inlineStr">
        <is>
          <t>=E22/F22</t>
        </is>
      </c>
      <c r="F29" s="13">
        <f>E22/F22</f>
        <v/>
      </c>
      <c r="G29" s="8" t="inlineStr">
        <is>
          <t>Only the 80 afternoon customers count.</t>
        </is>
      </c>
    </row>
    <row r="30" ht="34" customHeight="1">
      <c r="B30" s="11" t="inlineStr">
        <is>
          <t>5</t>
        </is>
      </c>
      <c r="C30" s="8" t="inlineStr">
        <is>
          <t>P(not Hot)</t>
        </is>
      </c>
      <c r="D30" s="8" t="inlineStr">
        <is>
          <t>Complement</t>
        </is>
      </c>
      <c r="E30" s="12" t="inlineStr">
        <is>
          <t>=1-D23/F23</t>
        </is>
      </c>
      <c r="F30" s="13">
        <f>1-D23/F23</f>
        <v/>
      </c>
      <c r="G30" s="8" t="inlineStr">
        <is>
          <t>Same as P(Iced) here.</t>
        </is>
      </c>
    </row>
    <row r="31" ht="34" customHeight="1">
      <c r="B31" s="11" t="inlineStr">
        <is>
          <t>6</t>
        </is>
      </c>
      <c r="C31" s="8" t="inlineStr">
        <is>
          <t>Morning and Iced mutually exclusive?</t>
        </is>
      </c>
      <c r="D31" s="8" t="inlineStr">
        <is>
          <t>Is the inside cell 0?</t>
        </is>
      </c>
      <c r="E31" s="12" t="inlineStr">
        <is>
          <t>=IF(E21=0,"Yes","No")</t>
        </is>
      </c>
      <c r="F31" s="13">
        <f>IF(E21=0,"Yes","No")</f>
        <v/>
      </c>
      <c r="G31" s="8" t="inlineStr">
        <is>
          <t>20 customers are both, so they can happen together.</t>
        </is>
      </c>
    </row>
    <row r="32" ht="34" customHeight="1">
      <c r="B32" s="11" t="inlineStr">
        <is>
          <t>7</t>
        </is>
      </c>
      <c r="C32" s="8" t="inlineStr">
        <is>
          <t>Morning and Hot independent?</t>
        </is>
      </c>
      <c r="D32" s="8" t="inlineStr">
        <is>
          <t>P(M and H) = P(M) × P(H)?</t>
        </is>
      </c>
      <c r="E32" s="12" t="inlineStr">
        <is>
          <t>=IF(ROUND(D21/F23,4)=ROUND(F21/F23*D23/F23,4),"Yes","No")</t>
        </is>
      </c>
      <c r="F32" s="13">
        <f>IF(ROUND(D21/F23,4)=ROUND(F21/F23*D23/F23,4),"Yes","No")</f>
        <v/>
      </c>
      <c r="G32" s="8" t="inlineStr">
        <is>
          <t>0.3333 ≠ 0.2489: the time changes the drink choice.</t>
        </is>
      </c>
    </row>
    <row r="33"/>
    <row r="34" ht="22" customHeight="1">
      <c r="B34" s="3" t="inlineStr">
        <is>
          <t>2 · DEMONSTRATION · Part B — 6 loyalty cards in a box: 4 Gold, 2 Silver. Two are drawn without replacement.</t>
        </is>
      </c>
      <c r="C34" s="4" t="n"/>
      <c r="D34" s="4" t="n"/>
      <c r="E34" s="4" t="n"/>
      <c r="F34" s="4" t="n"/>
      <c r="G34" s="4" t="n"/>
    </row>
    <row r="35"/>
    <row r="36" ht="22" customHeight="1">
      <c r="B36" s="6" t="inlineStr">
        <is>
          <t>Step</t>
        </is>
      </c>
      <c r="C36" s="6" t="inlineStr">
        <is>
          <t>What we want</t>
        </is>
      </c>
      <c r="D36" s="6" t="inlineStr">
        <is>
          <t>Rule</t>
        </is>
      </c>
      <c r="E36" s="6" t="inlineStr">
        <is>
          <t>Excel formula</t>
        </is>
      </c>
      <c r="F36" s="6" t="inlineStr">
        <is>
          <t>Result</t>
        </is>
      </c>
      <c r="G36" s="6" t="inlineStr">
        <is>
          <t>What it means</t>
        </is>
      </c>
    </row>
    <row r="37" ht="34" customHeight="1">
      <c r="B37" s="11" t="inlineStr">
        <is>
          <t>1</t>
        </is>
      </c>
      <c r="C37" s="8" t="inlineStr">
        <is>
          <t>P(first Gold and second Gold)</t>
        </is>
      </c>
      <c r="D37" s="8" t="inlineStr">
        <is>
          <t>Multiply along the branch</t>
        </is>
      </c>
      <c r="E37" s="12" t="inlineStr">
        <is>
          <t>=4/6*3/5</t>
        </is>
      </c>
      <c r="F37" s="13">
        <f>4/6*3/5</f>
        <v/>
      </c>
      <c r="G37" s="8" t="inlineStr">
        <is>
          <t>After one Gold is taken: 3 Gold left out of 5.</t>
        </is>
      </c>
    </row>
    <row r="38" ht="34" customHeight="1">
      <c r="B38" s="11" t="inlineStr">
        <is>
          <t>2</t>
        </is>
      </c>
      <c r="C38" s="8" t="inlineStr">
        <is>
          <t>P(first Gold, second Silver)</t>
        </is>
      </c>
      <c r="D38" s="8" t="inlineStr">
        <is>
          <t>Multiply along the branch</t>
        </is>
      </c>
      <c r="E38" s="12" t="inlineStr">
        <is>
          <t>=4/6*2/5</t>
        </is>
      </c>
      <c r="F38" s="13">
        <f>4/6*2/5</f>
        <v/>
      </c>
      <c r="G38" s="8" t="inlineStr">
        <is>
          <t>The second total is 5, not 6.</t>
        </is>
      </c>
    </row>
    <row r="39" ht="34" customHeight="1">
      <c r="B39" s="11" t="inlineStr">
        <is>
          <t>3</t>
        </is>
      </c>
      <c r="C39" s="8" t="inlineStr">
        <is>
          <t>P(at least one Silver)</t>
        </is>
      </c>
      <c r="D39" s="8" t="inlineStr">
        <is>
          <t>Complement of "both Gold"</t>
        </is>
      </c>
      <c r="E39" s="12" t="inlineStr">
        <is>
          <t>=1-4/6*3/5</t>
        </is>
      </c>
      <c r="F39" s="13">
        <f>1-4/6*3/5</f>
        <v/>
      </c>
      <c r="G39" s="8" t="inlineStr">
        <is>
          <t>Easier than adding three branches.</t>
        </is>
      </c>
    </row>
    <row r="40"/>
    <row r="41" ht="22" customHeight="1">
      <c r="B41" s="3" t="inlineStr">
        <is>
          <t>2 · DEMONSTRATION · Part C — X = cups bought per visit by 20 regular customers</t>
        </is>
      </c>
      <c r="C41" s="4" t="n"/>
      <c r="D41" s="4" t="n"/>
      <c r="E41" s="4" t="n"/>
      <c r="F41" s="4" t="n"/>
      <c r="G41" s="4" t="n"/>
    </row>
    <row r="42"/>
    <row r="43" ht="22" customHeight="1">
      <c r="B43" s="5" t="inlineStr"/>
      <c r="C43" s="6" t="inlineStr">
        <is>
          <t>x</t>
        </is>
      </c>
      <c r="D43" s="6" t="inlineStr">
        <is>
          <t>Customers</t>
        </is>
      </c>
      <c r="E43" s="6" t="inlineStr">
        <is>
          <t>P(x)</t>
        </is>
      </c>
      <c r="F43" s="6" t="inlineStr">
        <is>
          <t>x·P(x)</t>
        </is>
      </c>
      <c r="G43" s="6" t="inlineStr">
        <is>
          <t>(x − μ)²·P(x)</t>
        </is>
      </c>
    </row>
    <row r="44">
      <c r="C44" s="10" t="n">
        <v>0</v>
      </c>
      <c r="D44" s="10" t="n">
        <v>4</v>
      </c>
      <c r="E44" s="14">
        <f>D44/$D$48</f>
        <v/>
      </c>
      <c r="F44" s="14">
        <f>C44*E44</f>
        <v/>
      </c>
      <c r="G44" s="14">
        <f>(C44-$F$48)^2*E44</f>
        <v/>
      </c>
    </row>
    <row r="45">
      <c r="C45" s="10" t="n">
        <v>1</v>
      </c>
      <c r="D45" s="10" t="n">
        <v>8</v>
      </c>
      <c r="E45" s="14">
        <f>D45/$D$48</f>
        <v/>
      </c>
      <c r="F45" s="14">
        <f>C45*E45</f>
        <v/>
      </c>
      <c r="G45" s="14">
        <f>(C45-$F$48)^2*E45</f>
        <v/>
      </c>
    </row>
    <row r="46">
      <c r="C46" s="10" t="n">
        <v>2</v>
      </c>
      <c r="D46" s="10" t="n">
        <v>6</v>
      </c>
      <c r="E46" s="14">
        <f>D46/$D$48</f>
        <v/>
      </c>
      <c r="F46" s="14">
        <f>C46*E46</f>
        <v/>
      </c>
      <c r="G46" s="14">
        <f>(C46-$F$48)^2*E46</f>
        <v/>
      </c>
    </row>
    <row r="47">
      <c r="C47" s="10" t="n">
        <v>3</v>
      </c>
      <c r="D47" s="10" t="n">
        <v>2</v>
      </c>
      <c r="E47" s="14">
        <f>D47/$D$48</f>
        <v/>
      </c>
      <c r="F47" s="14">
        <f>C47*E47</f>
        <v/>
      </c>
      <c r="G47" s="14">
        <f>(C47-$F$48)^2*E47</f>
        <v/>
      </c>
    </row>
    <row r="48">
      <c r="C48" s="15" t="inlineStr">
        <is>
          <t>Total</t>
        </is>
      </c>
      <c r="D48" s="16">
        <f>SUM(D44:D47)</f>
        <v/>
      </c>
      <c r="E48" s="13">
        <f>SUM(E44:E47)</f>
        <v/>
      </c>
      <c r="F48" s="13">
        <f>SUM(F44:F47)</f>
        <v/>
      </c>
      <c r="G48" s="13">
        <f>SUM(G44:G47)</f>
        <v/>
      </c>
    </row>
    <row r="49"/>
    <row r="50" ht="22" customHeight="1">
      <c r="B50" s="6" t="inlineStr">
        <is>
          <t>Step</t>
        </is>
      </c>
      <c r="C50" s="6" t="inlineStr">
        <is>
          <t>What we want</t>
        </is>
      </c>
      <c r="D50" s="6" t="inlineStr">
        <is>
          <t>Rule</t>
        </is>
      </c>
      <c r="E50" s="6" t="inlineStr">
        <is>
          <t>Excel formula</t>
        </is>
      </c>
      <c r="F50" s="6" t="inlineStr">
        <is>
          <t>Result</t>
        </is>
      </c>
      <c r="G50" s="6" t="inlineStr">
        <is>
          <t>What it means</t>
        </is>
      </c>
    </row>
    <row r="51" ht="34" customHeight="1">
      <c r="B51" s="11" t="inlineStr">
        <is>
          <t>1</t>
        </is>
      </c>
      <c r="C51" s="8" t="inlineStr">
        <is>
          <t>P(x) for every x</t>
        </is>
      </c>
      <c r="D51" s="8" t="inlineStr">
        <is>
          <t>count ÷ total ($ locks the total)</t>
        </is>
      </c>
      <c r="E51" s="12" t="inlineStr">
        <is>
          <t>=D44/$D$48</t>
        </is>
      </c>
      <c r="F51" s="13">
        <f>D44/$D$48</f>
        <v/>
      </c>
      <c r="G51" s="8" t="inlineStr">
        <is>
          <t>Fill down. The P(x) column must add to 1.</t>
        </is>
      </c>
    </row>
    <row r="52" ht="34" customHeight="1">
      <c r="B52" s="11" t="inlineStr">
        <is>
          <t>2</t>
        </is>
      </c>
      <c r="C52" s="8" t="inlineStr">
        <is>
          <t>E(X)</t>
        </is>
      </c>
      <c r="D52" s="8" t="inlineStr">
        <is>
          <t>Σ x·P(x)</t>
        </is>
      </c>
      <c r="E52" s="12" t="inlineStr">
        <is>
          <t>=SUMPRODUCT(C44:C47,E44:E47)</t>
        </is>
      </c>
      <c r="F52" s="13">
        <f>SUMPRODUCT(C44:C47,E44:E47)</f>
        <v/>
      </c>
      <c r="G52" s="8" t="inlineStr">
        <is>
          <t>On average a customer buys 1.3 cups per visit.</t>
        </is>
      </c>
    </row>
    <row r="53" ht="34" customHeight="1">
      <c r="B53" s="11" t="inlineStr">
        <is>
          <t>3</t>
        </is>
      </c>
      <c r="C53" s="8" t="inlineStr">
        <is>
          <t>Var(X)</t>
        </is>
      </c>
      <c r="D53" s="8" t="inlineStr">
        <is>
          <t>Σ (x − μ)²·P(x)</t>
        </is>
      </c>
      <c r="E53" s="12" t="inlineStr">
        <is>
          <t>=G48</t>
        </is>
      </c>
      <c r="F53" s="13">
        <f>G48</f>
        <v/>
      </c>
      <c r="G53" s="8" t="inlineStr">
        <is>
          <t>Total of the last column.</t>
        </is>
      </c>
    </row>
    <row r="54" ht="34" customHeight="1">
      <c r="B54" s="11" t="inlineStr">
        <is>
          <t>4</t>
        </is>
      </c>
      <c r="C54" s="8" t="inlineStr">
        <is>
          <t>SD</t>
        </is>
      </c>
      <c r="D54" s="8" t="inlineStr">
        <is>
          <t>√Var</t>
        </is>
      </c>
      <c r="E54" s="12" t="inlineStr">
        <is>
          <t>=SQRT(G48)</t>
        </is>
      </c>
      <c r="F54" s="13">
        <f>SQRT(G48)</f>
        <v/>
      </c>
      <c r="G54" s="8" t="inlineStr">
        <is>
          <t>A typical visit is about 0.9 cups away from the mean.</t>
        </is>
      </c>
    </row>
    <row r="55"/>
    <row r="56" ht="22" customHeight="1">
      <c r="B56" s="3" t="inlineStr">
        <is>
          <t>3 · EXCEL TIPS</t>
        </is>
      </c>
      <c r="C56" s="4" t="n"/>
      <c r="D56" s="4" t="n"/>
      <c r="E56" s="4" t="n"/>
      <c r="F56" s="4" t="n"/>
      <c r="G56" s="4" t="n"/>
    </row>
    <row r="57">
      <c r="B57" s="17" t="inlineStr">
        <is>
          <t>→  Every formula starts with =. Click cells instead of typing numbers.</t>
        </is>
      </c>
    </row>
    <row r="58">
      <c r="B58" s="17" t="inlineStr">
        <is>
          <t>→  Lock a cell you reuse with $ before filling down, e.g. $D$5.</t>
        </is>
      </c>
    </row>
    <row r="59">
      <c r="B59" s="17" t="inlineStr">
        <is>
          <t>→  Count outcomes in a list: COUNTIF(range,"C*") counts the cells that start with C.</t>
        </is>
      </c>
    </row>
    <row r="60">
      <c r="B60" s="17" t="inlineStr">
        <is>
          <t>→  Show 4 decimals: ROUND(…,4) or Home → Number → Decrease/Increase Decimal.</t>
        </is>
      </c>
    </row>
    <row r="61"/>
    <row r="62">
      <c r="B62" s="18" t="inlineStr">
        <is>
          <t>Save as Lab6_YourName.xlsx and upload it on Moodle. Instructor: Eng. Nadia Mek.</t>
        </is>
      </c>
    </row>
  </sheetData>
  <mergeCells count="12">
    <mergeCell ref="B3:G3"/>
    <mergeCell ref="B2:G2"/>
    <mergeCell ref="B34:G34"/>
    <mergeCell ref="B59:G59"/>
    <mergeCell ref="B5:G5"/>
    <mergeCell ref="B60:G60"/>
    <mergeCell ref="B41:G41"/>
    <mergeCell ref="B57:G57"/>
    <mergeCell ref="B18:G18"/>
    <mergeCell ref="B56:G56"/>
    <mergeCell ref="B58:G58"/>
    <mergeCell ref="B62:G6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6" customWidth="1" min="3" max="3"/>
    <col width="34" customWidth="1" min="4" max="4"/>
    <col width="22" customWidth="1" min="5" max="5"/>
    <col width="30" customWidth="1" min="6" max="6"/>
  </cols>
  <sheetData>
    <row r="1"/>
    <row r="2" ht="30" customHeight="1">
      <c r="B2" s="1" t="inlineStr">
        <is>
          <t>Q1 · Reading a two-way table</t>
        </is>
      </c>
    </row>
    <row r="3"/>
    <row r="4">
      <c r="B4" s="19" t="inlineStr">
        <is>
          <t>Name:</t>
        </is>
      </c>
      <c r="C4" s="20" t="n"/>
      <c r="D4" s="19" t="inlineStr">
        <is>
          <t>Student ID:</t>
        </is>
      </c>
      <c r="E4" s="20" t="n"/>
    </row>
    <row r="5"/>
    <row r="6">
      <c r="B6" s="3" t="inlineStr">
        <is>
          <t>SCENARIO — Food delivery orders</t>
        </is>
      </c>
      <c r="C6" s="4" t="n"/>
      <c r="D6" s="4" t="n"/>
      <c r="E6" s="4" t="n"/>
      <c r="F6" s="4" t="n"/>
    </row>
    <row r="7">
      <c r="B7" s="21" t="inlineStr">
        <is>
          <t>A restaurant records 200 delivery orders by the app used and the time of the order.</t>
        </is>
      </c>
      <c r="C7" s="4" t="n"/>
      <c r="D7" s="4" t="n"/>
      <c r="E7" s="4" t="n"/>
      <c r="F7" s="4" t="n"/>
    </row>
    <row r="8"/>
    <row r="9">
      <c r="B9" s="6" t="inlineStr"/>
      <c r="C9" s="6" t="inlineStr">
        <is>
          <t>Lunch</t>
        </is>
      </c>
      <c r="D9" s="6" t="inlineStr">
        <is>
          <t>Dinner</t>
        </is>
      </c>
      <c r="E9" s="6" t="inlineStr">
        <is>
          <t>Total</t>
        </is>
      </c>
    </row>
    <row r="10">
      <c r="B10" s="9" t="inlineStr">
        <is>
          <t>App A</t>
        </is>
      </c>
      <c r="C10" s="10" t="n">
        <v>45</v>
      </c>
      <c r="D10" s="10" t="n">
        <v>75</v>
      </c>
      <c r="E10" s="9" t="n">
        <v>120</v>
      </c>
    </row>
    <row r="11">
      <c r="B11" s="9" t="inlineStr">
        <is>
          <t>App B</t>
        </is>
      </c>
      <c r="C11" s="10" t="n">
        <v>35</v>
      </c>
      <c r="D11" s="10" t="n">
        <v>45</v>
      </c>
      <c r="E11" s="9" t="n">
        <v>80</v>
      </c>
    </row>
    <row r="12">
      <c r="B12" s="9" t="inlineStr">
        <is>
          <t>Total</t>
        </is>
      </c>
      <c r="C12" s="9" t="n">
        <v>80</v>
      </c>
      <c r="D12" s="9" t="n">
        <v>120</v>
      </c>
      <c r="E12" s="9" t="n">
        <v>200</v>
      </c>
    </row>
    <row r="13"/>
    <row r="14" ht="22" customHeight="1">
      <c r="B14" s="6" t="inlineStr">
        <is>
          <t>Part</t>
        </is>
      </c>
      <c r="C14" s="6" t="inlineStr">
        <is>
          <t>Question</t>
        </is>
      </c>
      <c r="D14" s="6" t="inlineStr">
        <is>
          <t>Type your Excel formula here</t>
        </is>
      </c>
      <c r="E14" s="6" t="inlineStr">
        <is>
          <t>Your answer</t>
        </is>
      </c>
      <c r="F14" s="6" t="inlineStr">
        <is>
          <t>Guidance</t>
        </is>
      </c>
    </row>
    <row r="15" ht="48" customHeight="1">
      <c r="B15" s="11" t="inlineStr">
        <is>
          <t>(a)</t>
        </is>
      </c>
      <c r="C15" s="8" t="inlineStr">
        <is>
          <t>What percentage of the orders came through App A?</t>
        </is>
      </c>
      <c r="D15" s="22" t="n"/>
      <c r="E15" s="23" t="n"/>
      <c r="F15" s="24" t="inlineStr">
        <is>
          <t>Basic rule: App A total ÷ grand total.
Format as %.</t>
        </is>
      </c>
    </row>
    <row r="16" ht="48" customHeight="1">
      <c r="B16" s="11" t="inlineStr">
        <is>
          <t>(b)</t>
        </is>
      </c>
      <c r="C16" s="8" t="inlineStr">
        <is>
          <t>P(App B and Dinner)</t>
        </is>
      </c>
      <c r="D16" s="22" t="n"/>
      <c r="E16" s="23" t="n"/>
      <c r="F16" s="24" t="inlineStr">
        <is>
          <t>"and" → the inside cell ÷ grand total</t>
        </is>
      </c>
    </row>
    <row r="17" ht="48" customHeight="1">
      <c r="B17" s="11" t="inlineStr">
        <is>
          <t>(c)</t>
        </is>
      </c>
      <c r="C17" s="8" t="inlineStr">
        <is>
          <t>P(App A or Lunch)</t>
        </is>
      </c>
      <c r="D17" s="22" t="n"/>
      <c r="E17" s="23" t="n"/>
      <c r="F17" s="24" t="inlineStr">
        <is>
          <t>Addition rule: add, then subtract the overlap</t>
        </is>
      </c>
    </row>
    <row r="18" ht="48" customHeight="1">
      <c r="B18" s="11" t="inlineStr">
        <is>
          <t>(d)</t>
        </is>
      </c>
      <c r="C18" s="8" t="inlineStr">
        <is>
          <t>If an order is a Dinner order, what is the probability it came through App A?
P(App A | Dinner)</t>
        </is>
      </c>
      <c r="D18" s="22" t="n"/>
      <c r="E18" s="23" t="n"/>
      <c r="F18" s="24" t="inlineStr">
        <is>
          <t>"given Dinner" → divide by the Dinner total only</t>
        </is>
      </c>
    </row>
    <row r="19" ht="48" customHeight="1">
      <c r="B19" s="11" t="inlineStr">
        <is>
          <t>(e)</t>
        </is>
      </c>
      <c r="C19" s="8" t="inlineStr">
        <is>
          <t>P(not Lunch)</t>
        </is>
      </c>
      <c r="D19" s="22" t="n"/>
      <c r="E19" s="23" t="n"/>
      <c r="F19" s="24" t="inlineStr">
        <is>
          <t>Complement: 1 − P(Lunch)</t>
        </is>
      </c>
    </row>
    <row r="20" ht="48" customHeight="1">
      <c r="B20" s="11" t="inlineStr">
        <is>
          <t>(f)</t>
        </is>
      </c>
      <c r="C20" s="8" t="inlineStr">
        <is>
          <t>Are "App A" and "Dinner" mutually exclusive? Explain.</t>
        </is>
      </c>
      <c r="D20" s="22" t="n"/>
      <c r="E20" s="23" t="n"/>
      <c r="F20" s="24" t="inlineStr">
        <is>
          <t>Can an order be both? Look at the inside cell.</t>
        </is>
      </c>
    </row>
    <row r="21" ht="48" customHeight="1">
      <c r="B21" s="11" t="inlineStr">
        <is>
          <t>(g)</t>
        </is>
      </c>
      <c r="C21" s="8" t="inlineStr">
        <is>
          <t>Are "App A" and "Lunch" independent? Show both values you compare.</t>
        </is>
      </c>
      <c r="D21" s="22" t="n"/>
      <c r="E21" s="23" t="n"/>
      <c r="F21" s="24" t="inlineStr">
        <is>
          <t>In D: P(A and L) and P(A) × P(L), both rounded to 4 decimals</t>
        </is>
      </c>
    </row>
    <row r="22"/>
    <row r="23">
      <c r="B23" s="25" t="inlineStr">
        <is>
          <t>LEGEND</t>
        </is>
      </c>
    </row>
    <row r="24">
      <c r="B24" s="26" t="inlineStr">
        <is>
          <t>■  YELLOW = type your Excel formula</t>
        </is>
      </c>
      <c r="C24" s="27" t="n"/>
    </row>
    <row r="25">
      <c r="B25" s="28" t="inlineStr">
        <is>
          <t>■  ORANGE = write your answer (4 decimals) or your explanation</t>
        </is>
      </c>
      <c r="C25" s="29" t="n"/>
    </row>
  </sheetData>
  <mergeCells count="6">
    <mergeCell ref="B24:C24"/>
    <mergeCell ref="B7:F7"/>
    <mergeCell ref="B6:F6"/>
    <mergeCell ref="B2:F2"/>
    <mergeCell ref="B25:C25"/>
    <mergeCell ref="B23:F23"/>
  </mergeCells>
  <dataValidations count="1">
    <dataValidation sqref="E20 E21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6" customWidth="1" min="3" max="3"/>
    <col width="34" customWidth="1" min="4" max="4"/>
    <col width="22" customWidth="1" min="5" max="5"/>
    <col width="30" customWidth="1" min="6" max="6"/>
  </cols>
  <sheetData>
    <row r="1"/>
    <row r="2" ht="30" customHeight="1">
      <c r="B2" s="1" t="inlineStr">
        <is>
          <t>Q2 · A bigger two-way table</t>
        </is>
      </c>
    </row>
    <row r="3"/>
    <row r="4">
      <c r="B4" s="19" t="inlineStr">
        <is>
          <t>Name:</t>
        </is>
      </c>
      <c r="C4" s="20" t="n"/>
      <c r="D4" s="19" t="inlineStr">
        <is>
          <t>Student ID:</t>
        </is>
      </c>
      <c r="E4" s="20" t="n"/>
    </row>
    <row r="5"/>
    <row r="6">
      <c r="B6" s="3" t="inlineStr">
        <is>
          <t>SCENARIO — Where do students study?</t>
        </is>
      </c>
      <c r="C6" s="4" t="n"/>
      <c r="D6" s="4" t="n"/>
      <c r="E6" s="4" t="n"/>
      <c r="F6" s="4" t="n"/>
    </row>
    <row r="7">
      <c r="B7" s="21" t="inlineStr">
        <is>
          <t>A university asks 400 students in which year they are and where they prefer to study.</t>
        </is>
      </c>
      <c r="C7" s="4" t="n"/>
      <c r="D7" s="4" t="n"/>
      <c r="E7" s="4" t="n"/>
      <c r="F7" s="4" t="n"/>
    </row>
    <row r="8"/>
    <row r="9">
      <c r="B9" s="6" t="inlineStr"/>
      <c r="C9" s="6" t="inlineStr">
        <is>
          <t>Library</t>
        </is>
      </c>
      <c r="D9" s="6" t="inlineStr">
        <is>
          <t>Home</t>
        </is>
      </c>
      <c r="E9" s="6" t="inlineStr">
        <is>
          <t>Café</t>
        </is>
      </c>
      <c r="F9" s="6" t="inlineStr">
        <is>
          <t>Total</t>
        </is>
      </c>
    </row>
    <row r="10">
      <c r="B10" s="9" t="inlineStr">
        <is>
          <t>Year 1</t>
        </is>
      </c>
      <c r="C10" s="10" t="n">
        <v>40</v>
      </c>
      <c r="D10" s="10" t="n">
        <v>35</v>
      </c>
      <c r="E10" s="10" t="n">
        <v>25</v>
      </c>
      <c r="F10" s="9" t="n">
        <v>100</v>
      </c>
    </row>
    <row r="11">
      <c r="B11" s="9" t="inlineStr">
        <is>
          <t>Year 2</t>
        </is>
      </c>
      <c r="C11" s="10" t="n">
        <v>60</v>
      </c>
      <c r="D11" s="10" t="n">
        <v>50</v>
      </c>
      <c r="E11" s="10" t="n">
        <v>40</v>
      </c>
      <c r="F11" s="9" t="n">
        <v>150</v>
      </c>
    </row>
    <row r="12">
      <c r="B12" s="9" t="inlineStr">
        <is>
          <t>Year 3+</t>
        </is>
      </c>
      <c r="C12" s="10" t="n">
        <v>60</v>
      </c>
      <c r="D12" s="10" t="n">
        <v>55</v>
      </c>
      <c r="E12" s="10" t="n">
        <v>35</v>
      </c>
      <c r="F12" s="9" t="n">
        <v>150</v>
      </c>
    </row>
    <row r="13">
      <c r="B13" s="9" t="inlineStr">
        <is>
          <t>Total</t>
        </is>
      </c>
      <c r="C13" s="9" t="n">
        <v>160</v>
      </c>
      <c r="D13" s="9" t="n">
        <v>140</v>
      </c>
      <c r="E13" s="9" t="n">
        <v>100</v>
      </c>
      <c r="F13" s="9" t="n">
        <v>400</v>
      </c>
    </row>
    <row r="14"/>
    <row r="15" ht="22" customHeight="1">
      <c r="B15" s="6" t="inlineStr">
        <is>
          <t>Part</t>
        </is>
      </c>
      <c r="C15" s="6" t="inlineStr">
        <is>
          <t>Question</t>
        </is>
      </c>
      <c r="D15" s="6" t="inlineStr">
        <is>
          <t>Type your Excel formula here</t>
        </is>
      </c>
      <c r="E15" s="6" t="inlineStr">
        <is>
          <t>Your answer</t>
        </is>
      </c>
      <c r="F15" s="6" t="inlineStr">
        <is>
          <t>Guidance</t>
        </is>
      </c>
    </row>
    <row r="16" ht="48" customHeight="1">
      <c r="B16" s="11" t="inlineStr">
        <is>
          <t>(a)</t>
        </is>
      </c>
      <c r="C16" s="8" t="inlineStr">
        <is>
          <t>P(Year 2 and Café)</t>
        </is>
      </c>
      <c r="D16" s="22" t="n"/>
      <c r="E16" s="23" t="n"/>
      <c r="F16" s="24" t="inlineStr">
        <is>
          <t>"and" → inside cell ÷ grand total</t>
        </is>
      </c>
    </row>
    <row r="17" ht="48" customHeight="1">
      <c r="B17" s="11" t="inlineStr">
        <is>
          <t>(b)</t>
        </is>
      </c>
      <c r="C17" s="8" t="inlineStr">
        <is>
          <t>P(Home | Year 3+)</t>
        </is>
      </c>
      <c r="D17" s="22" t="n"/>
      <c r="E17" s="23" t="n"/>
      <c r="F17" s="24" t="inlineStr">
        <is>
          <t>"given Year 3+" → divide by the Year 3+ total</t>
        </is>
      </c>
    </row>
    <row r="18" ht="48" customHeight="1">
      <c r="B18" s="11" t="inlineStr">
        <is>
          <t>(c)</t>
        </is>
      </c>
      <c r="C18" s="8" t="inlineStr">
        <is>
          <t>P(Year 1 or Library)</t>
        </is>
      </c>
      <c r="D18" s="22" t="n"/>
      <c r="E18" s="23" t="n"/>
      <c r="F18" s="24" t="inlineStr">
        <is>
          <t>Addition rule</t>
        </is>
      </c>
    </row>
    <row r="19" ht="48" customHeight="1">
      <c r="B19" s="11" t="inlineStr">
        <is>
          <t>(d)</t>
        </is>
      </c>
      <c r="C19" s="8" t="inlineStr">
        <is>
          <t>P(Library | Home)</t>
        </is>
      </c>
      <c r="D19" s="22" t="n"/>
      <c r="E19" s="23" t="n"/>
      <c r="F19" s="24" t="inlineStr">
        <is>
          <t>Can a student prefer both? Think before you calculate.</t>
        </is>
      </c>
    </row>
    <row r="20" ht="48" customHeight="1">
      <c r="B20" s="11" t="inlineStr">
        <is>
          <t>(e)</t>
        </is>
      </c>
      <c r="C20" s="8" t="inlineStr">
        <is>
          <t>Are "Year 1" and "Library" independent? Show both values.</t>
        </is>
      </c>
      <c r="D20" s="22" t="n"/>
      <c r="E20" s="23" t="n"/>
      <c r="F20" s="24" t="inlineStr">
        <is>
          <t>Compare P(Y1 and L) with P(Y1) × P(L)</t>
        </is>
      </c>
    </row>
    <row r="21" ht="48" customHeight="1">
      <c r="B21" s="11" t="inlineStr">
        <is>
          <t>(f)</t>
        </is>
      </c>
      <c r="C21" s="8" t="inlineStr">
        <is>
          <t>Are "Year 2" and "Home" independent? Show both values.</t>
        </is>
      </c>
      <c r="D21" s="22" t="n"/>
      <c r="E21" s="23" t="n"/>
      <c r="F21" s="24" t="inlineStr">
        <is>
          <t>Same test as (e)</t>
        </is>
      </c>
    </row>
    <row r="22" ht="48" customHeight="1">
      <c r="B22" s="11" t="inlineStr">
        <is>
          <t>(g)</t>
        </is>
      </c>
      <c r="C22" s="8" t="inlineStr">
        <is>
          <t>Which study place is the most popular overall? Use a probability in your answer.</t>
        </is>
      </c>
      <c r="D22" s="30" t="inlineStr">
        <is>
          <t>(no formula needed)</t>
        </is>
      </c>
      <c r="E22" s="23" t="n"/>
      <c r="F22" s="24" t="inlineStr">
        <is>
          <t>Compare the column totals ÷ 400</t>
        </is>
      </c>
    </row>
    <row r="23"/>
    <row r="24">
      <c r="B24" s="25" t="inlineStr">
        <is>
          <t>LEGEND</t>
        </is>
      </c>
    </row>
    <row r="25">
      <c r="B25" s="26" t="inlineStr">
        <is>
          <t>■  YELLOW = type your Excel formula</t>
        </is>
      </c>
      <c r="C25" s="27" t="n"/>
    </row>
    <row r="26">
      <c r="B26" s="28" t="inlineStr">
        <is>
          <t>■  ORANGE = write your answer (4 decimals) or your explanation</t>
        </is>
      </c>
      <c r="C26" s="29" t="n"/>
    </row>
  </sheetData>
  <mergeCells count="6">
    <mergeCell ref="B7:F7"/>
    <mergeCell ref="B6:F6"/>
    <mergeCell ref="B24:F24"/>
    <mergeCell ref="B2:F2"/>
    <mergeCell ref="B25:C25"/>
    <mergeCell ref="B26:C26"/>
  </mergeCells>
  <dataValidations count="1">
    <dataValidation sqref="E20 E21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46" customWidth="1" min="3" max="3"/>
    <col width="34" customWidth="1" min="4" max="4"/>
    <col width="22" customWidth="1" min="5" max="5"/>
    <col width="30" customWidth="1" min="6" max="6"/>
    <col width="12" customWidth="1" min="8" max="8"/>
    <col width="12" customWidth="1" min="9" max="9"/>
    <col width="12" customWidth="1" min="10" max="10"/>
    <col width="14" customWidth="1" min="11" max="11"/>
  </cols>
  <sheetData>
    <row r="1"/>
    <row r="2" ht="30" customHeight="1">
      <c r="B2" s="1" t="inlineStr">
        <is>
          <t>Q3 · Sample space and tree</t>
        </is>
      </c>
    </row>
    <row r="3"/>
    <row r="4">
      <c r="B4" s="19" t="inlineStr">
        <is>
          <t>Name:</t>
        </is>
      </c>
      <c r="C4" s="20" t="n"/>
      <c r="D4" s="19" t="inlineStr">
        <is>
          <t>Student ID:</t>
        </is>
      </c>
      <c r="E4" s="20" t="n"/>
    </row>
    <row r="5"/>
    <row r="6">
      <c r="B6" s="3" t="inlineStr">
        <is>
          <t>SCENARIO — Guessing a quiz</t>
        </is>
      </c>
      <c r="C6" s="4" t="n"/>
      <c r="D6" s="4" t="n"/>
      <c r="E6" s="4" t="n"/>
      <c r="F6" s="4" t="n"/>
    </row>
    <row r="7" ht="32" customHeight="1">
      <c r="B7" s="21" t="inlineStr">
        <is>
          <t>A student guesses all 3 questions of a True/False quiz. Each answer is Correct (C) or Wrong (W), equally likely.</t>
        </is>
      </c>
      <c r="C7" s="4" t="n"/>
      <c r="D7" s="4" t="n"/>
      <c r="E7" s="4" t="n"/>
      <c r="F7" s="4" t="n"/>
    </row>
    <row r="8"/>
    <row r="9" ht="24" customHeight="1">
      <c r="B9" s="31" t="inlineStr">
        <is>
          <t>Events:   A = exactly two answers are correct      B = the first answer is correct</t>
        </is>
      </c>
      <c r="C9" s="27" t="n"/>
      <c r="D9" s="27" t="n"/>
      <c r="E9" s="27" t="n"/>
      <c r="F9" s="27" t="n"/>
      <c r="H9" s="25" t="inlineStr">
        <is>
          <t>Step 1 · Fill the tree: write C or W in each yellow cell, then the outcome (e.g. CCW).</t>
        </is>
      </c>
    </row>
    <row r="10">
      <c r="H10" s="6" t="inlineStr">
        <is>
          <t>Question 1</t>
        </is>
      </c>
      <c r="I10" s="6" t="inlineStr">
        <is>
          <t>Question 2</t>
        </is>
      </c>
      <c r="J10" s="6" t="inlineStr">
        <is>
          <t>Question 3</t>
        </is>
      </c>
      <c r="K10" s="6" t="inlineStr">
        <is>
          <t>Outcome</t>
        </is>
      </c>
    </row>
    <row r="11" ht="30" customHeight="1">
      <c r="B11" s="6" t="inlineStr">
        <is>
          <t>Part</t>
        </is>
      </c>
      <c r="C11" s="6" t="inlineStr">
        <is>
          <t>Question</t>
        </is>
      </c>
      <c r="D11" s="6" t="inlineStr">
        <is>
          <t>Type your Excel formula here</t>
        </is>
      </c>
      <c r="E11" s="6" t="inlineStr">
        <is>
          <t>Your answer</t>
        </is>
      </c>
      <c r="F11" s="6" t="inlineStr">
        <is>
          <t>Guidance</t>
        </is>
      </c>
      <c r="H11" s="32" t="n"/>
      <c r="I11" s="32" t="n"/>
      <c r="J11" s="32" t="n"/>
      <c r="K11" s="32" t="n"/>
    </row>
    <row r="12" ht="30" customHeight="1">
      <c r="B12" s="11" t="inlineStr">
        <is>
          <t>(a)</t>
        </is>
      </c>
      <c r="C12" s="8" t="inlineStr">
        <is>
          <t>How many outcomes are in S?</t>
        </is>
      </c>
      <c r="D12" s="22" t="n"/>
      <c r="E12" s="23" t="n"/>
      <c r="F12" s="24" t="inlineStr">
        <is>
          <t>=COUNTA of your Outcome column</t>
        </is>
      </c>
      <c r="H12" s="32" t="n"/>
      <c r="I12" s="32" t="n"/>
      <c r="J12" s="32" t="n"/>
      <c r="K12" s="32" t="n"/>
    </row>
    <row r="13" ht="30" customHeight="1">
      <c r="B13" s="11" t="inlineStr">
        <is>
          <t>(b)</t>
        </is>
      </c>
      <c r="C13" s="8" t="inlineStr">
        <is>
          <t>List A, then find P(A)</t>
        </is>
      </c>
      <c r="D13" s="22" t="n"/>
      <c r="E13" s="23" t="n"/>
      <c r="F13" s="24" t="inlineStr">
        <is>
          <t>Count the outcomes with exactly two C</t>
        </is>
      </c>
      <c r="H13" s="32" t="n"/>
      <c r="I13" s="32" t="n"/>
      <c r="J13" s="32" t="n"/>
      <c r="K13" s="32" t="n"/>
    </row>
    <row r="14" ht="30" customHeight="1">
      <c r="B14" s="11" t="inlineStr">
        <is>
          <t>(c)</t>
        </is>
      </c>
      <c r="C14" s="8" t="inlineStr">
        <is>
          <t>List B, then find P(B)</t>
        </is>
      </c>
      <c r="D14" s="22" t="n"/>
      <c r="E14" s="23" t="n"/>
      <c r="F14" s="24" t="inlineStr">
        <is>
          <t>=COUNTIF(K11:K18,"C*") ÷ total</t>
        </is>
      </c>
      <c r="H14" s="32" t="n"/>
      <c r="I14" s="32" t="n"/>
      <c r="J14" s="32" t="n"/>
      <c r="K14" s="32" t="n"/>
    </row>
    <row r="15" ht="30" customHeight="1">
      <c r="B15" s="11" t="inlineStr">
        <is>
          <t>(d)</t>
        </is>
      </c>
      <c r="C15" s="8" t="inlineStr">
        <is>
          <t>P(A and B)</t>
        </is>
      </c>
      <c r="D15" s="22" t="n"/>
      <c r="E15" s="23" t="n"/>
      <c r="F15" s="24" t="inlineStr">
        <is>
          <t>Outcomes in both lists</t>
        </is>
      </c>
      <c r="H15" s="32" t="n"/>
      <c r="I15" s="32" t="n"/>
      <c r="J15" s="32" t="n"/>
      <c r="K15" s="32" t="n"/>
    </row>
    <row r="16" ht="30" customHeight="1">
      <c r="B16" s="11" t="inlineStr">
        <is>
          <t>(e)</t>
        </is>
      </c>
      <c r="C16" s="8" t="inlineStr">
        <is>
          <t>P(A or B)</t>
        </is>
      </c>
      <c r="D16" s="22" t="n"/>
      <c r="E16" s="23" t="n"/>
      <c r="F16" s="24" t="inlineStr">
        <is>
          <t>Addition rule, or count the outcomes in either list</t>
        </is>
      </c>
      <c r="H16" s="32" t="n"/>
      <c r="I16" s="32" t="n"/>
      <c r="J16" s="32" t="n"/>
      <c r="K16" s="32" t="n"/>
    </row>
    <row r="17" ht="30" customHeight="1">
      <c r="B17" s="11" t="inlineStr">
        <is>
          <t>(f)</t>
        </is>
      </c>
      <c r="C17" s="8" t="inlineStr">
        <is>
          <t>P(A | B)</t>
        </is>
      </c>
      <c r="D17" s="22" t="n"/>
      <c r="E17" s="23" t="n"/>
      <c r="F17" s="24" t="inlineStr">
        <is>
          <t>"given B" → only the outcomes of B are left</t>
        </is>
      </c>
      <c r="H17" s="32" t="n"/>
      <c r="I17" s="32" t="n"/>
      <c r="J17" s="32" t="n"/>
      <c r="K17" s="32" t="n"/>
    </row>
    <row r="18" ht="30" customHeight="1">
      <c r="B18" s="11" t="inlineStr">
        <is>
          <t>(g)</t>
        </is>
      </c>
      <c r="C18" s="8" t="inlineStr">
        <is>
          <t>P(B')</t>
        </is>
      </c>
      <c r="D18" s="22" t="n"/>
      <c r="E18" s="23" t="n"/>
      <c r="F18" s="24" t="inlineStr">
        <is>
          <t>Complement</t>
        </is>
      </c>
      <c r="H18" s="32" t="n"/>
      <c r="I18" s="32" t="n"/>
      <c r="J18" s="32" t="n"/>
      <c r="K18" s="32" t="n"/>
    </row>
    <row r="19"/>
    <row r="20">
      <c r="B20" s="25" t="inlineStr">
        <is>
          <t>LEGEND</t>
        </is>
      </c>
      <c r="H20" s="25" t="inlineStr">
        <is>
          <t>Step 2 · Write the sample space S = { … } in the orange cell:</t>
        </is>
      </c>
    </row>
    <row r="21" ht="30" customHeight="1">
      <c r="B21" s="26" t="inlineStr">
        <is>
          <t>■  YELLOW = type your Excel formula</t>
        </is>
      </c>
      <c r="C21" s="27" t="n"/>
      <c r="H21" s="33" t="n"/>
    </row>
    <row r="22">
      <c r="B22" s="28" t="inlineStr">
        <is>
          <t>■  ORANGE = write your answer (4 decimals) or your explanation</t>
        </is>
      </c>
      <c r="C22" s="29" t="n"/>
    </row>
  </sheetData>
  <mergeCells count="10">
    <mergeCell ref="B21:C21"/>
    <mergeCell ref="B7:F7"/>
    <mergeCell ref="B6:F6"/>
    <mergeCell ref="H9:K9"/>
    <mergeCell ref="B2:F2"/>
    <mergeCell ref="B20:F20"/>
    <mergeCell ref="H20:K20"/>
    <mergeCell ref="B22:C22"/>
    <mergeCell ref="H21:K21"/>
    <mergeCell ref="B9:F9"/>
  </mergeCells>
  <dataValidations count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46" customWidth="1" min="3" max="3"/>
    <col width="34" customWidth="1" min="4" max="4"/>
    <col width="22" customWidth="1" min="5" max="5"/>
    <col width="30" customWidth="1" min="6" max="6"/>
    <col width="14" customWidth="1" min="8" max="8"/>
    <col width="14" customWidth="1" min="9" max="9"/>
    <col width="14" customWidth="1" min="10" max="10"/>
    <col width="16" customWidth="1" min="11" max="11"/>
    <col width="14" customWidth="1" min="12" max="12"/>
  </cols>
  <sheetData>
    <row r="1"/>
    <row r="2" ht="30" customHeight="1">
      <c r="B2" s="1" t="inlineStr">
        <is>
          <t>Q4 · Choosing without replacement</t>
        </is>
      </c>
    </row>
    <row r="3"/>
    <row r="4">
      <c r="B4" s="19" t="inlineStr">
        <is>
          <t>Name:</t>
        </is>
      </c>
      <c r="C4" s="20" t="n"/>
      <c r="D4" s="19" t="inlineStr">
        <is>
          <t>Student ID:</t>
        </is>
      </c>
      <c r="E4" s="20" t="n"/>
    </row>
    <row r="5"/>
    <row r="6">
      <c r="B6" s="3" t="inlineStr">
        <is>
          <t>SCENARIO — A student panel</t>
        </is>
      </c>
      <c r="C6" s="4" t="n"/>
      <c r="D6" s="4" t="n"/>
      <c r="E6" s="4" t="n"/>
      <c r="F6" s="4" t="n"/>
    </row>
    <row r="7" ht="34" customHeight="1">
      <c r="B7" s="21" t="inlineStr">
        <is>
          <t>Two students are chosen at random from 9 volunteers to speak at an open day: 4 from Dubai, 3 from Sharjah and 2 from Ajman. A student can be chosen only once (without replacement).</t>
        </is>
      </c>
      <c r="C7" s="4" t="n"/>
      <c r="D7" s="4" t="n"/>
      <c r="E7" s="4" t="n"/>
      <c r="F7" s="4" t="n"/>
    </row>
    <row r="8"/>
    <row r="9">
      <c r="H9" s="25" t="inlineStr">
        <is>
          <t>Step 1 · Fill the branch table (fractions are fine, e.g. =4/9).</t>
        </is>
      </c>
    </row>
    <row r="10">
      <c r="H10" s="6" t="inlineStr">
        <is>
          <t>First pick</t>
        </is>
      </c>
      <c r="I10" s="6" t="inlineStr">
        <is>
          <t>P(first)</t>
        </is>
      </c>
      <c r="J10" s="6" t="inlineStr">
        <is>
          <t>Second pick</t>
        </is>
      </c>
      <c r="K10" s="6" t="inlineStr">
        <is>
          <t>P(second | first)</t>
        </is>
      </c>
      <c r="L10" s="6" t="inlineStr">
        <is>
          <t>P(both)</t>
        </is>
      </c>
    </row>
    <row r="11" ht="30" customHeight="1">
      <c r="B11" s="6" t="inlineStr">
        <is>
          <t>Part</t>
        </is>
      </c>
      <c r="C11" s="6" t="inlineStr">
        <is>
          <t>Question</t>
        </is>
      </c>
      <c r="D11" s="6" t="inlineStr">
        <is>
          <t>Type your Excel formula here</t>
        </is>
      </c>
      <c r="E11" s="6" t="inlineStr">
        <is>
          <t>Your answer</t>
        </is>
      </c>
      <c r="F11" s="6" t="inlineStr">
        <is>
          <t>Guidance</t>
        </is>
      </c>
      <c r="H11" s="10" t="inlineStr">
        <is>
          <t>Dubai</t>
        </is>
      </c>
      <c r="I11" s="32" t="n"/>
      <c r="J11" s="10" t="inlineStr">
        <is>
          <t>Dubai</t>
        </is>
      </c>
      <c r="K11" s="32" t="n"/>
      <c r="L11" s="32" t="n"/>
    </row>
    <row r="12" ht="30" customHeight="1">
      <c r="B12" s="11" t="inlineStr">
        <is>
          <t>(a)</t>
        </is>
      </c>
      <c r="C12" s="8" t="inlineStr">
        <is>
          <t>P(first from Sharjah and second from Ajman)</t>
        </is>
      </c>
      <c r="D12" s="22" t="n"/>
      <c r="E12" s="23" t="n"/>
      <c r="F12" s="24" t="inlineStr">
        <is>
          <t>Multiply along one branch</t>
        </is>
      </c>
      <c r="H12" s="10" t="inlineStr">
        <is>
          <t>Dubai</t>
        </is>
      </c>
      <c r="I12" s="32" t="n"/>
      <c r="J12" s="10" t="inlineStr">
        <is>
          <t>Sharjah</t>
        </is>
      </c>
      <c r="K12" s="32" t="n"/>
      <c r="L12" s="32" t="n"/>
    </row>
    <row r="13" ht="30" customHeight="1">
      <c r="B13" s="11" t="inlineStr">
        <is>
          <t>(b)</t>
        </is>
      </c>
      <c r="C13" s="8" t="inlineStr">
        <is>
          <t>P(both from the same emirate)</t>
        </is>
      </c>
      <c r="D13" s="22" t="n"/>
      <c r="E13" s="23" t="n"/>
      <c r="F13" s="24" t="inlineStr">
        <is>
          <t>Add the three "same" branches</t>
        </is>
      </c>
      <c r="H13" s="10" t="inlineStr">
        <is>
          <t>Dubai</t>
        </is>
      </c>
      <c r="I13" s="32" t="n"/>
      <c r="J13" s="10" t="inlineStr">
        <is>
          <t>Ajman</t>
        </is>
      </c>
      <c r="K13" s="32" t="n"/>
      <c r="L13" s="32" t="n"/>
    </row>
    <row r="14" ht="30" customHeight="1">
      <c r="B14" s="11" t="inlineStr">
        <is>
          <t>(c)</t>
        </is>
      </c>
      <c r="C14" s="8" t="inlineStr">
        <is>
          <t>P(at least one from Dubai)</t>
        </is>
      </c>
      <c r="D14" s="22" t="n"/>
      <c r="E14" s="23" t="n"/>
      <c r="F14" s="24" t="inlineStr">
        <is>
          <t>Complement: 1 − P(neither is from Dubai)</t>
        </is>
      </c>
      <c r="H14" s="10" t="inlineStr">
        <is>
          <t>Sharjah</t>
        </is>
      </c>
      <c r="I14" s="32" t="n"/>
      <c r="J14" s="10" t="inlineStr">
        <is>
          <t>Dubai</t>
        </is>
      </c>
      <c r="K14" s="32" t="n"/>
      <c r="L14" s="32" t="n"/>
    </row>
    <row r="15" ht="30" customHeight="1">
      <c r="B15" s="11" t="inlineStr">
        <is>
          <t>(d)</t>
        </is>
      </c>
      <c r="C15" s="8" t="inlineStr">
        <is>
          <t>P(exactly one from Ajman)</t>
        </is>
      </c>
      <c r="D15" s="22" t="n"/>
      <c r="E15" s="23" t="n"/>
      <c r="F15" s="24" t="inlineStr">
        <is>
          <t>Two branches: Ajman first, or Ajman second</t>
        </is>
      </c>
      <c r="H15" s="10" t="inlineStr">
        <is>
          <t>Sharjah</t>
        </is>
      </c>
      <c r="I15" s="32" t="n"/>
      <c r="J15" s="10" t="inlineStr">
        <is>
          <t>Sharjah</t>
        </is>
      </c>
      <c r="K15" s="32" t="n"/>
      <c r="L15" s="32" t="n"/>
    </row>
    <row r="16" ht="30" customHeight="1">
      <c r="B16" s="11" t="inlineStr">
        <is>
          <t>(e)</t>
        </is>
      </c>
      <c r="C16" s="8" t="inlineStr">
        <is>
          <t>Check: what should the Total of P(both) be? Why?</t>
        </is>
      </c>
      <c r="D16" s="30" t="inlineStr">
        <is>
          <t>(no formula needed)</t>
        </is>
      </c>
      <c r="E16" s="23" t="n"/>
      <c r="F16" s="24" t="inlineStr">
        <is>
          <t>All branches together</t>
        </is>
      </c>
      <c r="H16" s="10" t="inlineStr">
        <is>
          <t>Sharjah</t>
        </is>
      </c>
      <c r="I16" s="32" t="n"/>
      <c r="J16" s="10" t="inlineStr">
        <is>
          <t>Ajman</t>
        </is>
      </c>
      <c r="K16" s="32" t="n"/>
      <c r="L16" s="32" t="n"/>
    </row>
    <row r="17" ht="30" customHeight="1">
      <c r="H17" s="10" t="inlineStr">
        <is>
          <t>Ajman</t>
        </is>
      </c>
      <c r="I17" s="32" t="n"/>
      <c r="J17" s="10" t="inlineStr">
        <is>
          <t>Dubai</t>
        </is>
      </c>
      <c r="K17" s="32" t="n"/>
      <c r="L17" s="32" t="n"/>
    </row>
    <row r="18" ht="30" customHeight="1">
      <c r="B18" s="25" t="inlineStr">
        <is>
          <t>LEGEND</t>
        </is>
      </c>
      <c r="H18" s="10" t="inlineStr">
        <is>
          <t>Ajman</t>
        </is>
      </c>
      <c r="I18" s="32" t="n"/>
      <c r="J18" s="10" t="inlineStr">
        <is>
          <t>Sharjah</t>
        </is>
      </c>
      <c r="K18" s="32" t="n"/>
      <c r="L18" s="32" t="n"/>
    </row>
    <row r="19" ht="30" customHeight="1">
      <c r="B19" s="26" t="inlineStr">
        <is>
          <t>■  YELLOW = type your Excel formula</t>
        </is>
      </c>
      <c r="C19" s="27" t="n"/>
      <c r="H19" s="10" t="inlineStr">
        <is>
          <t>Ajman</t>
        </is>
      </c>
      <c r="I19" s="32" t="n"/>
      <c r="J19" s="10" t="inlineStr">
        <is>
          <t>Ajman</t>
        </is>
      </c>
      <c r="K19" s="32" t="n"/>
      <c r="L19" s="32" t="n"/>
    </row>
    <row r="20" ht="30" customHeight="1">
      <c r="B20" s="28" t="inlineStr">
        <is>
          <t>■  ORANGE = write your answer (4 decimals) or your explanation</t>
        </is>
      </c>
      <c r="C20" s="29" t="n"/>
      <c r="K20" s="19" t="inlineStr">
        <is>
          <t>Total</t>
        </is>
      </c>
      <c r="L20" s="34" t="n"/>
    </row>
  </sheetData>
  <mergeCells count="7">
    <mergeCell ref="H9:L9"/>
    <mergeCell ref="B7:F7"/>
    <mergeCell ref="B6:F6"/>
    <mergeCell ref="B2:F2"/>
    <mergeCell ref="B19:C19"/>
    <mergeCell ref="B20:C20"/>
    <mergeCell ref="B18:F18"/>
  </mergeCells>
  <dataValidations count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s="35" t="inlineStr">
        <is>
          <t>Day</t>
        </is>
      </c>
      <c r="B1" s="35" t="inlineStr">
        <is>
          <t>Chargers in use at noon</t>
        </is>
      </c>
    </row>
    <row r="2">
      <c r="A2" t="n">
        <v>1</v>
      </c>
      <c r="B2" t="n">
        <v>2</v>
      </c>
    </row>
    <row r="3">
      <c r="A3" t="n">
        <v>2</v>
      </c>
      <c r="B3" t="n">
        <v>0</v>
      </c>
    </row>
    <row r="4">
      <c r="A4" t="n">
        <v>3</v>
      </c>
      <c r="B4" t="n">
        <v>2</v>
      </c>
    </row>
    <row r="5">
      <c r="A5" t="n">
        <v>4</v>
      </c>
      <c r="B5" t="n">
        <v>2</v>
      </c>
    </row>
    <row r="6">
      <c r="A6" t="n">
        <v>5</v>
      </c>
      <c r="B6" t="n">
        <v>0</v>
      </c>
    </row>
    <row r="7">
      <c r="A7" t="n">
        <v>6</v>
      </c>
      <c r="B7" t="n">
        <v>1</v>
      </c>
    </row>
    <row r="8">
      <c r="A8" t="n">
        <v>7</v>
      </c>
      <c r="B8" t="n">
        <v>1</v>
      </c>
    </row>
    <row r="9">
      <c r="A9" t="n">
        <v>8</v>
      </c>
      <c r="B9" t="n">
        <v>3</v>
      </c>
    </row>
    <row r="10">
      <c r="A10" t="n">
        <v>9</v>
      </c>
      <c r="B10" t="n">
        <v>2</v>
      </c>
    </row>
    <row r="11">
      <c r="A11" t="n">
        <v>10</v>
      </c>
      <c r="B11" t="n">
        <v>0</v>
      </c>
    </row>
    <row r="12">
      <c r="A12" t="n">
        <v>11</v>
      </c>
      <c r="B12" t="n">
        <v>2</v>
      </c>
    </row>
    <row r="13">
      <c r="A13" t="n">
        <v>12</v>
      </c>
      <c r="B13" t="n">
        <v>1</v>
      </c>
    </row>
    <row r="14">
      <c r="A14" t="n">
        <v>13</v>
      </c>
      <c r="B14" t="n">
        <v>0</v>
      </c>
    </row>
    <row r="15">
      <c r="A15" t="n">
        <v>14</v>
      </c>
      <c r="B15" t="n">
        <v>1</v>
      </c>
    </row>
    <row r="16">
      <c r="A16" t="n">
        <v>15</v>
      </c>
      <c r="B16" t="n">
        <v>1</v>
      </c>
    </row>
    <row r="17">
      <c r="A17" t="n">
        <v>16</v>
      </c>
      <c r="B17" t="n">
        <v>3</v>
      </c>
    </row>
    <row r="18">
      <c r="A18" t="n">
        <v>17</v>
      </c>
      <c r="B18" t="n">
        <v>0</v>
      </c>
    </row>
    <row r="19">
      <c r="A19" t="n">
        <v>18</v>
      </c>
      <c r="B19" t="n">
        <v>1</v>
      </c>
    </row>
    <row r="20">
      <c r="A20" t="n">
        <v>19</v>
      </c>
      <c r="B20" t="n">
        <v>2</v>
      </c>
    </row>
    <row r="21">
      <c r="A21" t="n">
        <v>20</v>
      </c>
      <c r="B21" t="n">
        <v>2</v>
      </c>
    </row>
    <row r="22">
      <c r="A22" t="n">
        <v>21</v>
      </c>
      <c r="B22" t="n">
        <v>0</v>
      </c>
    </row>
    <row r="23">
      <c r="A23" t="n">
        <v>22</v>
      </c>
      <c r="B23" t="n">
        <v>1</v>
      </c>
    </row>
    <row r="24">
      <c r="A24" t="n">
        <v>23</v>
      </c>
      <c r="B24" t="n">
        <v>2</v>
      </c>
    </row>
    <row r="25">
      <c r="A25" t="n">
        <v>24</v>
      </c>
      <c r="B25" t="n">
        <v>1</v>
      </c>
    </row>
    <row r="26">
      <c r="A26" t="n">
        <v>25</v>
      </c>
      <c r="B26" t="n">
        <v>2</v>
      </c>
    </row>
    <row r="27">
      <c r="A27" t="n">
        <v>26</v>
      </c>
      <c r="B27" t="n">
        <v>0</v>
      </c>
    </row>
    <row r="28">
      <c r="A28" t="n">
        <v>27</v>
      </c>
      <c r="B28" t="n">
        <v>3</v>
      </c>
    </row>
    <row r="29">
      <c r="A29" t="n">
        <v>28</v>
      </c>
      <c r="B29" t="n">
        <v>2</v>
      </c>
    </row>
    <row r="30">
      <c r="A30" t="n">
        <v>29</v>
      </c>
      <c r="B30" t="n">
        <v>0</v>
      </c>
    </row>
    <row r="31">
      <c r="A31" t="n">
        <v>30</v>
      </c>
      <c r="B31" t="n">
        <v>2</v>
      </c>
    </row>
    <row r="32">
      <c r="A32" t="n">
        <v>31</v>
      </c>
      <c r="B32" t="n">
        <v>3</v>
      </c>
    </row>
    <row r="33">
      <c r="A33" t="n">
        <v>32</v>
      </c>
      <c r="B33" t="n">
        <v>1</v>
      </c>
    </row>
    <row r="34">
      <c r="A34" t="n">
        <v>33</v>
      </c>
      <c r="B34" t="n">
        <v>0</v>
      </c>
    </row>
    <row r="35">
      <c r="A35" t="n">
        <v>34</v>
      </c>
      <c r="B35" t="n">
        <v>1</v>
      </c>
    </row>
    <row r="36">
      <c r="A36" t="n">
        <v>35</v>
      </c>
      <c r="B36" t="n">
        <v>0</v>
      </c>
    </row>
    <row r="37">
      <c r="A37" t="n">
        <v>36</v>
      </c>
      <c r="B37" t="n">
        <v>0</v>
      </c>
    </row>
    <row r="38">
      <c r="A38" t="n">
        <v>37</v>
      </c>
      <c r="B38" t="n">
        <v>2</v>
      </c>
    </row>
    <row r="39">
      <c r="A39" t="n">
        <v>38</v>
      </c>
      <c r="B39" t="n">
        <v>3</v>
      </c>
    </row>
    <row r="40">
      <c r="A40" t="n">
        <v>39</v>
      </c>
      <c r="B40" t="n">
        <v>1</v>
      </c>
    </row>
    <row r="41">
      <c r="A41" t="n">
        <v>40</v>
      </c>
      <c r="B41" t="n">
        <v>3</v>
      </c>
    </row>
    <row r="42">
      <c r="A42" t="n">
        <v>41</v>
      </c>
      <c r="B42" t="n">
        <v>1</v>
      </c>
    </row>
    <row r="43">
      <c r="A43" t="n">
        <v>42</v>
      </c>
      <c r="B43" t="n">
        <v>1</v>
      </c>
    </row>
    <row r="44">
      <c r="A44" t="n">
        <v>43</v>
      </c>
      <c r="B44" t="n">
        <v>2</v>
      </c>
    </row>
    <row r="45">
      <c r="A45" t="n">
        <v>44</v>
      </c>
      <c r="B45" t="n">
        <v>3</v>
      </c>
    </row>
    <row r="46">
      <c r="A46" t="n">
        <v>45</v>
      </c>
      <c r="B46" t="n">
        <v>2</v>
      </c>
    </row>
    <row r="47">
      <c r="A47" t="n">
        <v>46</v>
      </c>
      <c r="B47" t="n">
        <v>2</v>
      </c>
    </row>
    <row r="48">
      <c r="A48" t="n">
        <v>47</v>
      </c>
      <c r="B48" t="n">
        <v>2</v>
      </c>
    </row>
    <row r="49">
      <c r="A49" t="n">
        <v>48</v>
      </c>
      <c r="B49" t="n">
        <v>0</v>
      </c>
    </row>
    <row r="50">
      <c r="A50" t="n">
        <v>49</v>
      </c>
      <c r="B50" t="n">
        <v>3</v>
      </c>
    </row>
    <row r="51">
      <c r="A51" t="n">
        <v>50</v>
      </c>
      <c r="B51" t="n">
        <v>1</v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14" customWidth="1" min="3" max="3"/>
    <col width="16" customWidth="1" min="4" max="4"/>
    <col width="16" customWidth="1" min="5" max="5"/>
    <col width="20" customWidth="1" min="6" max="6"/>
    <col width="24" customWidth="1" min="7" max="7"/>
    <col width="3" customWidth="1" min="8" max="8"/>
    <col width="40" customWidth="1" min="9" max="9"/>
    <col width="30" customWidth="1" min="10" max="10"/>
  </cols>
  <sheetData>
    <row r="1"/>
    <row r="2" ht="30" customHeight="1">
      <c r="B2" s="1" t="inlineStr">
        <is>
          <t>Q5 · A discrete probability distribution</t>
        </is>
      </c>
    </row>
    <row r="3"/>
    <row r="4">
      <c r="B4" s="19" t="inlineStr">
        <is>
          <t>Name:</t>
        </is>
      </c>
      <c r="C4" s="20" t="n"/>
      <c r="D4" s="19" t="inlineStr">
        <is>
          <t>Student ID:</t>
        </is>
      </c>
      <c r="E4" s="20" t="n"/>
    </row>
    <row r="5"/>
    <row r="6">
      <c r="B6" s="3" t="inlineStr">
        <is>
          <t>SCENARIO — Electric car chargers</t>
        </is>
      </c>
      <c r="C6" s="4" t="n"/>
      <c r="D6" s="4" t="n"/>
      <c r="E6" s="4" t="n"/>
      <c r="F6" s="4" t="n"/>
      <c r="G6" s="4" t="n"/>
    </row>
    <row r="7" ht="30" customHeight="1">
      <c r="B7" s="21" t="inlineStr">
        <is>
          <t>A mall has 3 chargers. On 50 days it recorded X = the number of chargers in use at noon (sheet "Data").</t>
        </is>
      </c>
      <c r="C7" s="4" t="n"/>
      <c r="D7" s="4" t="n"/>
      <c r="E7" s="4" t="n"/>
      <c r="F7" s="4" t="n"/>
      <c r="G7" s="4" t="n"/>
    </row>
    <row r="8"/>
    <row r="9" ht="22" customHeight="1">
      <c r="C9" s="6" t="inlineStr">
        <is>
          <t>x</t>
        </is>
      </c>
      <c r="D9" s="6" t="inlineStr">
        <is>
          <t>Count (days)</t>
        </is>
      </c>
      <c r="E9" s="6" t="inlineStr">
        <is>
          <t>P(x)</t>
        </is>
      </c>
      <c r="F9" s="6" t="inlineStr">
        <is>
          <t>x · P(x)</t>
        </is>
      </c>
      <c r="G9" s="6" t="inlineStr">
        <is>
          <t>(x − μ)² · P(x)</t>
        </is>
      </c>
      <c r="I9" s="3" t="inlineStr">
        <is>
          <t>How to fill the table</t>
        </is>
      </c>
      <c r="J9" s="4" t="n"/>
    </row>
    <row r="10" ht="30" customHeight="1">
      <c r="C10" s="11" t="n">
        <v>0</v>
      </c>
      <c r="D10" s="34" t="n"/>
      <c r="E10" s="34" t="n"/>
      <c r="F10" s="34" t="n"/>
      <c r="G10" s="34" t="n"/>
      <c r="I10" s="17" t="inlineStr">
        <is>
          <t>1. Count: =COUNTIF(Data!$B$2:$B$51, C10), fill down.</t>
        </is>
      </c>
    </row>
    <row r="11" ht="30" customHeight="1">
      <c r="C11" s="11" t="n">
        <v>1</v>
      </c>
      <c r="D11" s="34" t="n"/>
      <c r="E11" s="34" t="n"/>
      <c r="F11" s="34" t="n"/>
      <c r="G11" s="34" t="n"/>
      <c r="I11" s="17" t="inlineStr">
        <is>
          <t>2. P(x) = count ÷ 50 (lock the total with $).</t>
        </is>
      </c>
    </row>
    <row r="12" ht="30" customHeight="1">
      <c r="C12" s="11" t="n">
        <v>2</v>
      </c>
      <c r="D12" s="34" t="n"/>
      <c r="E12" s="34" t="n"/>
      <c r="F12" s="34" t="n"/>
      <c r="G12" s="34" t="n"/>
      <c r="I12" s="17" t="inlineStr">
        <is>
          <t>3. Total of P(x) must be 1.</t>
        </is>
      </c>
    </row>
    <row r="13" ht="30" customHeight="1">
      <c r="C13" s="11" t="n">
        <v>3</v>
      </c>
      <c r="D13" s="34" t="n"/>
      <c r="E13" s="34" t="n"/>
      <c r="F13" s="34" t="n"/>
      <c r="G13" s="34" t="n"/>
      <c r="I13" s="17" t="inlineStr">
        <is>
          <t>4. x · P(x): multiply the two cells; the Total is E(X). Check with =SUMPRODUCT.</t>
        </is>
      </c>
    </row>
    <row r="14" ht="30" customHeight="1">
      <c r="C14" s="15" t="inlineStr">
        <is>
          <t>Total</t>
        </is>
      </c>
      <c r="D14" s="34" t="n"/>
      <c r="E14" s="34" t="n"/>
      <c r="F14" s="34" t="n"/>
      <c r="G14" s="34" t="n"/>
      <c r="I14" s="17" t="inlineStr">
        <is>
          <t>5. (x − μ)² · P(x): use $F$16 for μ; the Total is Var(X).</t>
        </is>
      </c>
    </row>
    <row r="15">
      <c r="F15" s="15" t="inlineStr">
        <is>
          <t>μ = E(X)</t>
        </is>
      </c>
      <c r="G15" s="15" t="inlineStr">
        <is>
          <t>Var(X)</t>
        </is>
      </c>
      <c r="I15" s="17" t="inlineStr">
        <is>
          <t>6. SD = =SQRT(Var).</t>
        </is>
      </c>
    </row>
    <row r="16">
      <c r="F16" s="33" t="n"/>
      <c r="G16" s="33" t="n"/>
    </row>
    <row r="17">
      <c r="G17" s="15" t="inlineStr">
        <is>
          <t>SD</t>
        </is>
      </c>
    </row>
    <row r="18">
      <c r="G18" s="33" t="n"/>
    </row>
    <row r="19"/>
    <row r="20"/>
    <row r="21" ht="22" customHeight="1">
      <c r="B21" s="6" t="inlineStr">
        <is>
          <t>Part</t>
        </is>
      </c>
      <c r="C21" s="6" t="inlineStr">
        <is>
          <t>Question</t>
        </is>
      </c>
      <c r="D21" s="36" t="n"/>
      <c r="E21" s="37" t="n"/>
      <c r="F21" s="6" t="inlineStr">
        <is>
          <t>Your answer</t>
        </is>
      </c>
      <c r="G21" s="37" t="n"/>
    </row>
    <row r="22" ht="42" customHeight="1">
      <c r="B22" s="11" t="inlineStr">
        <is>
          <t>(a)</t>
        </is>
      </c>
      <c r="C22" s="8" t="inlineStr">
        <is>
          <t>Is this a valid probability distribution? Give two reasons.</t>
        </is>
      </c>
      <c r="D22" s="38" t="n"/>
      <c r="E22" s="38" t="n"/>
      <c r="F22" s="33" t="n"/>
      <c r="G22" s="33" t="n"/>
    </row>
    <row r="23" ht="42" customHeight="1">
      <c r="B23" s="11" t="inlineStr">
        <is>
          <t>(b)</t>
        </is>
      </c>
      <c r="C23" s="8" t="inlineStr">
        <is>
          <t>P(X ≥ 2): at least 2 chargers in use</t>
        </is>
      </c>
      <c r="D23" s="38" t="n"/>
      <c r="E23" s="38" t="n"/>
      <c r="F23" s="33" t="n"/>
      <c r="G23" s="33" t="n"/>
    </row>
    <row r="24" ht="42" customHeight="1">
      <c r="B24" s="11" t="inlineStr">
        <is>
          <t>(c)</t>
        </is>
      </c>
      <c r="C24" s="8" t="inlineStr">
        <is>
          <t>E(X) in one sentence, in context.</t>
        </is>
      </c>
      <c r="D24" s="38" t="n"/>
      <c r="E24" s="38" t="n"/>
      <c r="F24" s="33" t="n"/>
      <c r="G24" s="33" t="n"/>
    </row>
    <row r="25" ht="42" customHeight="1">
      <c r="B25" s="11" t="inlineStr">
        <is>
          <t>(d)</t>
        </is>
      </c>
      <c r="C25" s="8" t="inlineStr">
        <is>
          <t>The mall wants a free charger at noon on most days. Is 3 chargers enough? Use P(X = 3).</t>
        </is>
      </c>
      <c r="D25" s="38" t="n"/>
      <c r="E25" s="38" t="n"/>
      <c r="F25" s="33" t="n"/>
      <c r="G25" s="33" t="n"/>
    </row>
    <row r="26"/>
    <row r="27">
      <c r="B27" s="25" t="inlineStr">
        <is>
          <t>LEGEND</t>
        </is>
      </c>
    </row>
    <row r="28">
      <c r="B28" s="26" t="inlineStr">
        <is>
          <t>■  YELLOW = type your Excel formula</t>
        </is>
      </c>
      <c r="C28" s="27" t="n"/>
      <c r="D28" s="27" t="n"/>
      <c r="E28" s="27" t="n"/>
    </row>
    <row r="29">
      <c r="B29" s="28" t="inlineStr">
        <is>
          <t>■  ORANGE = write your answer (4 decimals) or your explanation</t>
        </is>
      </c>
      <c r="C29" s="29" t="n"/>
      <c r="D29" s="29" t="n"/>
      <c r="E29" s="29" t="n"/>
    </row>
  </sheetData>
  <mergeCells count="23">
    <mergeCell ref="B2:G2"/>
    <mergeCell ref="I15:J15"/>
    <mergeCell ref="F25:G25"/>
    <mergeCell ref="C22:E22"/>
    <mergeCell ref="I11:J11"/>
    <mergeCell ref="C21:E21"/>
    <mergeCell ref="B27:F27"/>
    <mergeCell ref="F21:G21"/>
    <mergeCell ref="F24:G24"/>
    <mergeCell ref="C23:E23"/>
    <mergeCell ref="B6:G6"/>
    <mergeCell ref="I12:J12"/>
    <mergeCell ref="F23:G23"/>
    <mergeCell ref="F22:G22"/>
    <mergeCell ref="I14:J14"/>
    <mergeCell ref="B7:G7"/>
    <mergeCell ref="C24:E24"/>
    <mergeCell ref="I10:J10"/>
    <mergeCell ref="B29:E29"/>
    <mergeCell ref="I13:J13"/>
    <mergeCell ref="B28:E28"/>
    <mergeCell ref="I9:J9"/>
    <mergeCell ref="C25:E25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2026-10-28T07:31:09Z</dcterms:created>
  <dcterms:modified xmlns:dcterms="http://purl.org/dc/terms/" xmlns:xsi="http://www.w3.org/2001/XMLSchema-instance" xsi:type="dcterms:W3CDTF">2026-10-28T07:31:09Z</dcterms:modified>
</cp:coreProperties>
</file>