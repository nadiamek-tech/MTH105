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000000"/>
      <sz val="11"/>
    </font>
    <font>
      <b val="1"/>
      <color rgb="00000000"/>
      <sz val="11"/>
    </font>
    <font>
      <color rgb="00000000"/>
      <sz val="11"/>
    </font>
    <font>
      <b val="1"/>
      <color rgb="00FFFFFF"/>
    </font>
    <font>
      <b val="1"/>
    </font>
    <font>
      <i val="1"/>
      <color rgb="00595959"/>
      <sz val="11"/>
    </font>
    <font>
      <name val="Consolas"/>
      <color rgb="001F3864"/>
    </font>
    <font>
      <i val="1"/>
      <color rgb="0059595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F59D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C8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7F7F7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4" fillId="0" borderId="0" applyAlignment="1" pivotButton="0" quotePrefix="0" xfId="0">
      <alignment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0" applyAlignment="1" pivotButton="0" quotePrefix="0" xfId="0">
      <alignment vertical="center" wrapText="1" indent="1"/>
    </xf>
    <xf numFmtId="0" fontId="0" fillId="5" borderId="0" pivotButton="0" quotePrefix="0" xfId="0"/>
    <xf numFmtId="0" fontId="6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 indent="1"/>
    </xf>
    <xf numFmtId="0" fontId="6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164" fontId="6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 inden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 indent="1"/>
    </xf>
    <xf numFmtId="0" fontId="4" fillId="5" borderId="0" applyAlignment="1" pivotButton="0" quotePrefix="0" xfId="0">
      <alignment vertical="center" wrapText="1" indent="1"/>
    </xf>
    <xf numFmtId="0" fontId="4" fillId="8" borderId="0" applyAlignment="1" pivotButton="0" quotePrefix="0" xfId="0">
      <alignment vertical="center" wrapText="1" indent="1"/>
    </xf>
    <xf numFmtId="0" fontId="0" fillId="8" borderId="0" pivotButton="0" quotePrefix="0" xfId="0"/>
    <xf numFmtId="0" fontId="0" fillId="5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34" customWidth="1" min="3" max="3"/>
    <col width="32" customWidth="1" min="4" max="4"/>
    <col width="40" customWidth="1" min="5" max="5"/>
    <col width="13" customWidth="1" min="6" max="6"/>
    <col width="42" customWidth="1" min="7" max="7"/>
  </cols>
  <sheetData>
    <row r="1"/>
    <row r="2" ht="30" customHeight="1">
      <c r="B2" s="1" t="inlineStr">
        <is>
          <t>LAB 7 · BINOMIAL DISTRIBUTION — Demonstration (we solve this one together)</t>
        </is>
      </c>
    </row>
    <row r="3">
      <c r="B3" s="2" t="inlineStr">
        <is>
          <t>Watch each step, then click a green Result cell to see the formula. Solve Q1–Q3 the same way. Data are illustrative.</t>
        </is>
      </c>
    </row>
    <row r="4"/>
    <row r="5" ht="22" customHeight="1">
      <c r="B5" s="3" t="inlineStr">
        <is>
          <t>1 · IS IT BINOMIAL? ALL FOUR MUST BE TRUE</t>
        </is>
      </c>
      <c r="C5" s="4" t="n"/>
      <c r="D5" s="4" t="n"/>
      <c r="E5" s="4" t="n"/>
      <c r="F5" s="4" t="n"/>
      <c r="G5" s="4" t="n"/>
    </row>
    <row r="6">
      <c r="B6" s="5" t="inlineStr">
        <is>
          <t>1.  Fixed number of trials n</t>
        </is>
      </c>
    </row>
    <row r="7">
      <c r="B7" s="5" t="inlineStr">
        <is>
          <t>2.  Two outcomes: success or failure</t>
        </is>
      </c>
    </row>
    <row r="8">
      <c r="B8" s="5" t="inlineStr">
        <is>
          <t>3.  Same p in every trial</t>
        </is>
      </c>
    </row>
    <row r="9">
      <c r="B9" s="5" t="inlineStr">
        <is>
          <t>4.  Trials are independent</t>
        </is>
      </c>
    </row>
    <row r="10"/>
    <row r="11" ht="22" customHeight="1">
      <c r="B11" s="3" t="inlineStr">
        <is>
          <t>2 · THE FORMULAS</t>
        </is>
      </c>
      <c r="C11" s="4" t="n"/>
      <c r="D11" s="4" t="n"/>
      <c r="E11" s="4" t="n"/>
      <c r="F11" s="4" t="n"/>
      <c r="G11" s="4" t="n"/>
    </row>
    <row r="12" ht="22" customHeight="1">
      <c r="B12" s="6" t="n"/>
      <c r="C12" s="7" t="inlineStr">
        <is>
          <t>If the problem says…</t>
        </is>
      </c>
      <c r="D12" s="7" t="inlineStr">
        <is>
          <t>Rule</t>
        </is>
      </c>
      <c r="E12" s="7" t="inlineStr">
        <is>
          <t>Excel formula</t>
        </is>
      </c>
      <c r="F12" s="6" t="n"/>
      <c r="G12" s="6" t="n"/>
    </row>
    <row r="13" ht="20" customHeight="1">
      <c r="C13" s="8" t="inlineStr">
        <is>
          <t>Exactly x</t>
        </is>
      </c>
      <c r="D13" s="9" t="inlineStr">
        <is>
          <t>P(X = x) = nCx · pˣ · qⁿ⁻ˣ</t>
        </is>
      </c>
      <c r="E13" s="9" t="inlineStr">
        <is>
          <t>BINOM.DIST(x, n, p, FALSE)</t>
        </is>
      </c>
    </row>
    <row r="14" ht="20" customHeight="1">
      <c r="C14" s="8" t="inlineStr">
        <is>
          <t>At most x</t>
        </is>
      </c>
      <c r="D14" s="9" t="inlineStr">
        <is>
          <t>P(X ≤ x)</t>
        </is>
      </c>
      <c r="E14" s="9" t="inlineStr">
        <is>
          <t>BINOM.DIST(x, n, p, TRUE)</t>
        </is>
      </c>
    </row>
    <row r="15" ht="20" customHeight="1">
      <c r="C15" s="8" t="inlineStr">
        <is>
          <t>Fewer than x</t>
        </is>
      </c>
      <c r="D15" s="9" t="inlineStr">
        <is>
          <t>P(X ≤ x − 1)</t>
        </is>
      </c>
      <c r="E15" s="9" t="inlineStr">
        <is>
          <t>BINOM.DIST(x − 1, n, p, TRUE)</t>
        </is>
      </c>
    </row>
    <row r="16" ht="20" customHeight="1">
      <c r="C16" s="8" t="inlineStr">
        <is>
          <t>At least x</t>
        </is>
      </c>
      <c r="D16" s="9" t="inlineStr">
        <is>
          <t>1 − P(X ≤ x − 1)</t>
        </is>
      </c>
      <c r="E16" s="9" t="inlineStr">
        <is>
          <t>1 − BINOM.DIST(x − 1, n, p, TRUE)</t>
        </is>
      </c>
    </row>
    <row r="17" ht="20" customHeight="1">
      <c r="C17" s="8" t="inlineStr">
        <is>
          <t>More than x</t>
        </is>
      </c>
      <c r="D17" s="9" t="inlineStr">
        <is>
          <t>1 − P(X ≤ x)</t>
        </is>
      </c>
      <c r="E17" s="9" t="inlineStr">
        <is>
          <t>1 − BINOM.DIST(x, n, p, TRUE)</t>
        </is>
      </c>
    </row>
    <row r="18" ht="20" customHeight="1">
      <c r="C18" s="8" t="inlineStr">
        <is>
          <t>Between a and b</t>
        </is>
      </c>
      <c r="D18" s="9" t="inlineStr">
        <is>
          <t>P(X ≤ b) − P(X ≤ a − 1)</t>
        </is>
      </c>
      <c r="E18" s="9" t="inlineStr">
        <is>
          <t>BINOM.DIST(b,…,TRUE) − BINOM.DIST(a − 1,…,TRUE)</t>
        </is>
      </c>
    </row>
    <row r="19" ht="20" customHeight="1">
      <c r="C19" s="8" t="inlineStr">
        <is>
          <t>At least one</t>
        </is>
      </c>
      <c r="D19" s="9" t="inlineStr">
        <is>
          <t>1 − P(X = 0)</t>
        </is>
      </c>
      <c r="E19" s="9" t="inlineStr">
        <is>
          <t>1 − BINOM.DIST(0, n, p, FALSE)</t>
        </is>
      </c>
    </row>
    <row r="20" ht="20" customHeight="1">
      <c r="C20" s="8" t="inlineStr">
        <is>
          <t>Mean, Var, SD</t>
        </is>
      </c>
      <c r="D20" s="9" t="inlineStr">
        <is>
          <t>μ = n·p    σ² = n·p·q    σ = √(n·p·q)</t>
        </is>
      </c>
      <c r="E20" s="9" t="inlineStr">
        <is>
          <t>n*p   n*p*(1−p)   SQRT(…)</t>
        </is>
      </c>
    </row>
    <row r="21" ht="22" customHeight="1">
      <c r="B21" s="10" t="inlineStr">
        <is>
          <t>✓  FALSE = exact   |   TRUE = cumulative ("x or fewer")   |   "at least / more than" → 1 minus</t>
        </is>
      </c>
      <c r="C21" s="11" t="n"/>
      <c r="D21" s="11" t="n"/>
      <c r="E21" s="11" t="n"/>
      <c r="F21" s="11" t="n"/>
      <c r="G21" s="11" t="n"/>
    </row>
    <row r="22"/>
    <row r="23" ht="22" customHeight="1">
      <c r="B23" s="3" t="inlineStr">
        <is>
          <t>3 · DEMONSTRATION — A player scores 70% of free throws. She takes 5 shots. X = number of scores.</t>
        </is>
      </c>
      <c r="C23" s="4" t="n"/>
      <c r="D23" s="4" t="n"/>
      <c r="E23" s="4" t="n"/>
      <c r="F23" s="4" t="n"/>
      <c r="G23" s="4" t="n"/>
    </row>
    <row r="24">
      <c r="B24" s="5" t="inlineStr">
        <is>
          <t>Check: n = 5 fixed · score or miss · p = 0.7 every shot · shots independent → binomial.</t>
        </is>
      </c>
    </row>
    <row r="25"/>
    <row r="26">
      <c r="C26" s="12" t="inlineStr">
        <is>
          <t>n</t>
        </is>
      </c>
      <c r="D26" s="13" t="n">
        <v>5</v>
      </c>
      <c r="E26" s="14" t="inlineStr">
        <is>
          <t>← The formulas below click these cells, so a new n or p updates every answer.</t>
        </is>
      </c>
    </row>
    <row r="27">
      <c r="C27" s="12" t="inlineStr">
        <is>
          <t>p</t>
        </is>
      </c>
      <c r="D27" s="13" t="n">
        <v>0.7</v>
      </c>
    </row>
    <row r="28">
      <c r="C28" s="12" t="inlineStr">
        <is>
          <t>q = 1 − p</t>
        </is>
      </c>
      <c r="D28" s="13">
        <f>1-D27</f>
        <v/>
      </c>
    </row>
    <row r="29"/>
    <row r="30" ht="22" customHeight="1">
      <c r="B30" s="7" t="inlineStr">
        <is>
          <t>Step</t>
        </is>
      </c>
      <c r="C30" s="7" t="inlineStr">
        <is>
          <t>What we want</t>
        </is>
      </c>
      <c r="D30" s="7" t="inlineStr">
        <is>
          <t>Rule</t>
        </is>
      </c>
      <c r="E30" s="7" t="inlineStr">
        <is>
          <t>Excel formula</t>
        </is>
      </c>
      <c r="F30" s="7" t="inlineStr">
        <is>
          <t>Result</t>
        </is>
      </c>
      <c r="G30" s="7" t="inlineStr">
        <is>
          <t>What it means</t>
        </is>
      </c>
    </row>
    <row r="31" ht="34" customHeight="1">
      <c r="B31" s="15" t="inlineStr">
        <is>
          <t>1</t>
        </is>
      </c>
      <c r="C31" s="9" t="inlineStr">
        <is>
          <t>P(exactly 4)   P(X = 4)</t>
        </is>
      </c>
      <c r="D31" s="9" t="inlineStr">
        <is>
          <t>Exact → FALSE</t>
        </is>
      </c>
      <c r="E31" s="16" t="inlineStr">
        <is>
          <t>=BINOM.DIST(4,$D$26,$D$27,FALSE)</t>
        </is>
      </c>
      <c r="F31" s="17">
        <f>_xlfn.BINOM.DIST(4,$D$26,$D$27,FALSE)</f>
        <v/>
      </c>
      <c r="G31" s="9" t="inlineStr">
        <is>
          <t>About 1 chance in 3 that she scores exactly 4.</t>
        </is>
      </c>
    </row>
    <row r="32" ht="34" customHeight="1">
      <c r="B32" s="15" t="inlineStr">
        <is>
          <t>2</t>
        </is>
      </c>
      <c r="C32" s="9" t="inlineStr">
        <is>
          <t>Check step 1 with the formula</t>
        </is>
      </c>
      <c r="D32" s="9" t="inlineStr">
        <is>
          <t>nCx · pˣ · qⁿ⁻ˣ</t>
        </is>
      </c>
      <c r="E32" s="16" t="inlineStr">
        <is>
          <t>=COMBIN($D$26,4)*$D$27^4*$D$28^1</t>
        </is>
      </c>
      <c r="F32" s="17">
        <f>COMBIN($D$26,4)*$D$27^4*$D$28^1</f>
        <v/>
      </c>
      <c r="G32" s="9" t="inlineStr">
        <is>
          <t>Same answer as BINOM.DIST.</t>
        </is>
      </c>
    </row>
    <row r="33" ht="34" customHeight="1">
      <c r="B33" s="15" t="inlineStr">
        <is>
          <t>3</t>
        </is>
      </c>
      <c r="C33" s="9" t="inlineStr">
        <is>
          <t>P(at most 3)   P(X ≤ 3)</t>
        </is>
      </c>
      <c r="D33" s="9" t="inlineStr">
        <is>
          <t>"At most" → TRUE</t>
        </is>
      </c>
      <c r="E33" s="16" t="inlineStr">
        <is>
          <t>=BINOM.DIST(3,$D$26,$D$27,TRUE)</t>
        </is>
      </c>
      <c r="F33" s="17">
        <f>_xlfn.BINOM.DIST(3,$D$26,$D$27,TRUE)</f>
        <v/>
      </c>
      <c r="G33" s="9" t="inlineStr">
        <is>
          <t>0, 1, 2 or 3 scores together.</t>
        </is>
      </c>
    </row>
    <row r="34" ht="34" customHeight="1">
      <c r="B34" s="15" t="inlineStr">
        <is>
          <t>4</t>
        </is>
      </c>
      <c r="C34" s="9" t="inlineStr">
        <is>
          <t>P(at least 4)   P(X ≥ 4)</t>
        </is>
      </c>
      <c r="D34" s="9" t="inlineStr">
        <is>
          <t>1 − P(X ≤ 3)</t>
        </is>
      </c>
      <c r="E34" s="16" t="inlineStr">
        <is>
          <t>=1-BINOM.DIST(3,$D$26,$D$27,TRUE)</t>
        </is>
      </c>
      <c r="F34" s="17">
        <f>1-_xlfn.BINOM.DIST(3,$D$26,$D$27,TRUE)</f>
        <v/>
      </c>
      <c r="G34" s="9" t="inlineStr">
        <is>
          <t>Steps 3 and 4 add up to 1.</t>
        </is>
      </c>
    </row>
    <row r="35" ht="34" customHeight="1">
      <c r="B35" s="15" t="inlineStr">
        <is>
          <t>5</t>
        </is>
      </c>
      <c r="C35" s="9" t="inlineStr">
        <is>
          <t>P(more than 2)   P(X &gt; 2)</t>
        </is>
      </c>
      <c r="D35" s="9" t="inlineStr">
        <is>
          <t>1 − P(X ≤ 2)</t>
        </is>
      </c>
      <c r="E35" s="16" t="inlineStr">
        <is>
          <t>=1-BINOM.DIST(2,$D$26,$D$27,TRUE)</t>
        </is>
      </c>
      <c r="F35" s="17">
        <f>1-_xlfn.BINOM.DIST(2,$D$26,$D$27,TRUE)</f>
        <v/>
      </c>
      <c r="G35" s="9" t="inlineStr">
        <is>
          <t>x stays at 2 inside.</t>
        </is>
      </c>
    </row>
    <row r="36" ht="34" customHeight="1">
      <c r="B36" s="15" t="inlineStr">
        <is>
          <t>6</t>
        </is>
      </c>
      <c r="C36" s="9" t="inlineStr">
        <is>
          <t>P(fewer than 2)   P(X &lt; 2)</t>
        </is>
      </c>
      <c r="D36" s="9" t="inlineStr">
        <is>
          <t>P(X ≤ 1)</t>
        </is>
      </c>
      <c r="E36" s="16" t="inlineStr">
        <is>
          <t>=BINOM.DIST(1,$D$26,$D$27,TRUE)</t>
        </is>
      </c>
      <c r="F36" s="17">
        <f>_xlfn.BINOM.DIST(1,$D$26,$D$27,TRUE)</f>
        <v/>
      </c>
      <c r="G36" s="9" t="inlineStr">
        <is>
          <t>Very unlikely for a 70% shooter.</t>
        </is>
      </c>
    </row>
    <row r="37" ht="34" customHeight="1">
      <c r="B37" s="15" t="inlineStr">
        <is>
          <t>7</t>
        </is>
      </c>
      <c r="C37" s="9" t="inlineStr">
        <is>
          <t>P(between 2 and 4)   P(2 ≤ X ≤ 4)</t>
        </is>
      </c>
      <c r="D37" s="9" t="inlineStr">
        <is>
          <t>P(X ≤ 4) − P(X ≤ 1)</t>
        </is>
      </c>
      <c r="E37" s="16" t="inlineStr">
        <is>
          <t>=BINOM.DIST(4,$D$26,$D$27,TRUE)-BINOM.DIST(1,$D$26,$D$27,TRUE)</t>
        </is>
      </c>
      <c r="F37" s="17">
        <f>_xlfn.BINOM.DIST(4,$D$26,$D$27,TRUE)-_xlfn.BINOM.DIST(1,$D$26,$D$27,TRUE)</f>
        <v/>
      </c>
      <c r="G37" s="9" t="inlineStr">
        <is>
          <t>a − 1 = 1 inside the second one.</t>
        </is>
      </c>
    </row>
    <row r="38" ht="34" customHeight="1">
      <c r="B38" s="15" t="inlineStr">
        <is>
          <t>8</t>
        </is>
      </c>
      <c r="C38" s="9" t="inlineStr">
        <is>
          <t>P(at least one score)</t>
        </is>
      </c>
      <c r="D38" s="9" t="inlineStr">
        <is>
          <t>1 − P(X = 0)</t>
        </is>
      </c>
      <c r="E38" s="16" t="inlineStr">
        <is>
          <t>=1-BINOM.DIST(0,$D$26,$D$27,FALSE)</t>
        </is>
      </c>
      <c r="F38" s="17">
        <f>1-_xlfn.BINOM.DIST(0,$D$26,$D$27,FALSE)</f>
        <v/>
      </c>
      <c r="G38" s="9" t="inlineStr">
        <is>
          <t>Almost certain.</t>
        </is>
      </c>
    </row>
    <row r="39" ht="34" customHeight="1">
      <c r="B39" s="15" t="inlineStr">
        <is>
          <t>9</t>
        </is>
      </c>
      <c r="C39" s="9" t="inlineStr">
        <is>
          <t>Mean μ</t>
        </is>
      </c>
      <c r="D39" s="9" t="inlineStr">
        <is>
          <t>n·p</t>
        </is>
      </c>
      <c r="E39" s="16" t="inlineStr">
        <is>
          <t>=$D$26*$D$27</t>
        </is>
      </c>
      <c r="F39" s="17">
        <f>$D$26*$D$27</f>
        <v/>
      </c>
      <c r="G39" s="9" t="inlineStr">
        <is>
          <t>On average 3.5 scores in 5 shots.</t>
        </is>
      </c>
    </row>
    <row r="40" ht="34" customHeight="1">
      <c r="B40" s="15" t="inlineStr">
        <is>
          <t>10</t>
        </is>
      </c>
      <c r="C40" s="9" t="inlineStr">
        <is>
          <t>Var σ²</t>
        </is>
      </c>
      <c r="D40" s="9" t="inlineStr">
        <is>
          <t>n·p·q</t>
        </is>
      </c>
      <c r="E40" s="16" t="inlineStr">
        <is>
          <t>=$D$26*$D$27*$D$28</t>
        </is>
      </c>
      <c r="F40" s="17">
        <f>$D$26*$D$27*$D$28</f>
        <v/>
      </c>
      <c r="G40" s="9" t="inlineStr"/>
    </row>
    <row r="41" ht="34" customHeight="1">
      <c r="B41" s="15" t="inlineStr">
        <is>
          <t>11</t>
        </is>
      </c>
      <c r="C41" s="9" t="inlineStr">
        <is>
          <t>SD σ</t>
        </is>
      </c>
      <c r="D41" s="9" t="inlineStr">
        <is>
          <t>√(n·p·q)</t>
        </is>
      </c>
      <c r="E41" s="16" t="inlineStr">
        <is>
          <t>=SQRT($D$26*$D$27*$D$28)</t>
        </is>
      </c>
      <c r="F41" s="17">
        <f>SQRT($D$26*$D$27*$D$28)</f>
        <v/>
      </c>
      <c r="G41" s="9" t="inlineStr">
        <is>
          <t>A typical set of 5 shots is about 1 score from 3.5.</t>
        </is>
      </c>
    </row>
    <row r="42"/>
    <row r="43">
      <c r="B43" s="14" t="inlineStr">
        <is>
          <t>Save as Lab7_YourName.xlsx and upload it on Moodle. Instructor: Eng. Nadia Mek.</t>
        </is>
      </c>
    </row>
  </sheetData>
  <mergeCells count="13">
    <mergeCell ref="B3:G3"/>
    <mergeCell ref="B2:G2"/>
    <mergeCell ref="B24:G24"/>
    <mergeCell ref="B5:G5"/>
    <mergeCell ref="B23:G23"/>
    <mergeCell ref="B9:G9"/>
    <mergeCell ref="B8:G8"/>
    <mergeCell ref="E26:G26"/>
    <mergeCell ref="B43:G43"/>
    <mergeCell ref="B21:G21"/>
    <mergeCell ref="B7:G7"/>
    <mergeCell ref="B11:G11"/>
    <mergeCell ref="B6:G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9" customWidth="1" min="9" max="9"/>
    <col width="9" customWidth="1" min="10" max="10"/>
  </cols>
  <sheetData>
    <row r="1"/>
    <row r="2" ht="30" customHeight="1">
      <c r="B2" s="1" t="inlineStr">
        <is>
          <t>Q1 · Is it binomial?</t>
        </is>
      </c>
    </row>
    <row r="3"/>
    <row r="4">
      <c r="B4" s="18" t="inlineStr">
        <is>
          <t>Name:</t>
        </is>
      </c>
      <c r="C4" s="19" t="n"/>
      <c r="D4" s="18" t="inlineStr">
        <is>
          <t>Student ID:</t>
        </is>
      </c>
      <c r="E4" s="19" t="n"/>
    </row>
    <row r="5"/>
    <row r="6">
      <c r="B6" s="3" t="inlineStr">
        <is>
          <t>For each situation choose Yes or No for every condition. If it is binomial, write n and p.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/>
    <row r="8" ht="22" customHeight="1">
      <c r="B8" s="7" t="inlineStr"/>
      <c r="C8" s="7" t="inlineStr">
        <is>
          <t>Situation</t>
        </is>
      </c>
      <c r="D8" s="7" t="inlineStr">
        <is>
          <t>Fixed n?</t>
        </is>
      </c>
      <c r="E8" s="7" t="inlineStr">
        <is>
          <t>Two outcomes?</t>
        </is>
      </c>
      <c r="F8" s="7" t="inlineStr">
        <is>
          <t>Same p?</t>
        </is>
      </c>
      <c r="G8" s="7" t="inlineStr">
        <is>
          <t>Independent?</t>
        </is>
      </c>
      <c r="H8" s="7" t="inlineStr">
        <is>
          <t>Binomial?</t>
        </is>
      </c>
      <c r="I8" s="7" t="inlineStr">
        <is>
          <t>n</t>
        </is>
      </c>
      <c r="J8" s="7" t="inlineStr">
        <is>
          <t>p</t>
        </is>
      </c>
    </row>
    <row r="9" ht="46" customHeight="1">
      <c r="B9" s="15" t="inlineStr">
        <is>
          <t>(a)</t>
        </is>
      </c>
      <c r="C9" s="9" t="inlineStr">
        <is>
          <t>12 customers enter a shop. Each buys something with probability 0.3, independently. X = number who buy.</t>
        </is>
      </c>
      <c r="D9" s="20" t="n"/>
      <c r="E9" s="20" t="n"/>
      <c r="F9" s="20" t="n"/>
      <c r="G9" s="20" t="n"/>
      <c r="H9" s="21" t="n"/>
      <c r="I9" s="20" t="n"/>
      <c r="J9" s="20" t="n"/>
    </row>
    <row r="10" ht="46" customHeight="1">
      <c r="B10" s="15" t="inlineStr">
        <is>
          <t>(b)</t>
        </is>
      </c>
      <c r="C10" s="9" t="inlineStr">
        <is>
          <t>3 cards are drawn from a deck without replacement. X = number of hearts.</t>
        </is>
      </c>
      <c r="D10" s="20" t="n"/>
      <c r="E10" s="20" t="n"/>
      <c r="F10" s="20" t="n"/>
      <c r="G10" s="20" t="n"/>
      <c r="H10" s="21" t="n"/>
      <c r="I10" s="20" t="n"/>
      <c r="J10" s="20" t="n"/>
    </row>
    <row r="11" ht="46" customHeight="1">
      <c r="B11" s="15" t="inlineStr">
        <is>
          <t>(c)</t>
        </is>
      </c>
      <c r="C11" s="9" t="inlineStr">
        <is>
          <t>A die is rolled until a 6 appears. X = number of rolls.</t>
        </is>
      </c>
      <c r="D11" s="20" t="n"/>
      <c r="E11" s="20" t="n"/>
      <c r="F11" s="20" t="n"/>
      <c r="G11" s="20" t="n"/>
      <c r="H11" s="21" t="n"/>
      <c r="I11" s="20" t="n"/>
      <c r="J11" s="20" t="n"/>
    </row>
    <row r="12" ht="46" customHeight="1">
      <c r="B12" s="15" t="inlineStr">
        <is>
          <t>(d)</t>
        </is>
      </c>
      <c r="C12" s="9" t="inlineStr">
        <is>
          <t>20 phones are taken from a large production line where 4% are faulty. X = number of faulty phones.</t>
        </is>
      </c>
      <c r="D12" s="20" t="n"/>
      <c r="E12" s="20" t="n"/>
      <c r="F12" s="20" t="n"/>
      <c r="G12" s="20" t="n"/>
      <c r="H12" s="21" t="n"/>
      <c r="I12" s="20" t="n"/>
      <c r="J12" s="20" t="n"/>
    </row>
    <row r="13" ht="46" customHeight="1">
      <c r="B13" s="15" t="inlineStr">
        <is>
          <t>(e)</t>
        </is>
      </c>
      <c r="C13" s="9" t="inlineStr">
        <is>
          <t>5 restaurants are rated from 1 to 5 stars. X = the total number of stars.</t>
        </is>
      </c>
      <c r="D13" s="20" t="n"/>
      <c r="E13" s="20" t="n"/>
      <c r="F13" s="20" t="n"/>
      <c r="G13" s="20" t="n"/>
      <c r="H13" s="21" t="n"/>
      <c r="I13" s="20" t="n"/>
      <c r="J13" s="20" t="n"/>
    </row>
    <row r="14"/>
    <row r="15">
      <c r="B15" s="14" t="inlineStr">
        <is>
          <t>Tip: one "No" is enough to say it is not binomial.</t>
        </is>
      </c>
    </row>
  </sheetData>
  <mergeCells count="3">
    <mergeCell ref="B15:J15"/>
    <mergeCell ref="B6:J6"/>
    <mergeCell ref="B2:J2"/>
  </mergeCells>
  <dataValidations count="1">
    <dataValidation sqref="D9 D10 D11 D12 D13 E9 E10 E11 E12 E13 F9 F10 F11 F12 F13 G9 G10 G11 G12 G13 H9 H10 H11 H12 H1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6" customWidth="1" min="3" max="3"/>
    <col width="34" customWidth="1" min="4" max="4"/>
    <col width="22" customWidth="1" min="5" max="5"/>
    <col width="30" customWidth="1" min="6" max="6"/>
  </cols>
  <sheetData>
    <row r="1"/>
    <row r="2" ht="30" customHeight="1">
      <c r="B2" s="1" t="inlineStr">
        <is>
          <t>Q2 · Binomial probabilities</t>
        </is>
      </c>
    </row>
    <row r="3"/>
    <row r="4">
      <c r="B4" s="18" t="inlineStr">
        <is>
          <t>Name:</t>
        </is>
      </c>
      <c r="C4" s="19" t="n"/>
      <c r="D4" s="18" t="inlineStr">
        <is>
          <t>Student ID:</t>
        </is>
      </c>
      <c r="E4" s="19" t="n"/>
    </row>
    <row r="5"/>
    <row r="6">
      <c r="B6" s="3" t="inlineStr">
        <is>
          <t>SCENARIO — Getting to campus</t>
        </is>
      </c>
      <c r="C6" s="4" t="n"/>
      <c r="D6" s="4" t="n"/>
      <c r="E6" s="4" t="n"/>
      <c r="F6" s="4" t="n"/>
    </row>
    <row r="7" ht="30" customHeight="1">
      <c r="B7" s="22" t="inlineStr">
        <is>
          <t>In a large survey, 40% of university students take public transport to campus. A random sample of 8 students is chosen.</t>
        </is>
      </c>
      <c r="C7" s="4" t="n"/>
      <c r="D7" s="4" t="n"/>
      <c r="E7" s="4" t="n"/>
      <c r="F7" s="4" t="n"/>
    </row>
    <row r="8">
      <c r="B8" s="22" t="inlineStr">
        <is>
          <t>X = number of students in the sample who take public transport.</t>
        </is>
      </c>
      <c r="C8" s="4" t="n"/>
      <c r="D8" s="4" t="n"/>
      <c r="E8" s="4" t="n"/>
      <c r="F8" s="4" t="n"/>
    </row>
    <row r="9"/>
    <row r="10" ht="24" customHeight="1">
      <c r="B10" s="10" t="inlineStr">
        <is>
          <t>Given:   n = ___   |   p = ___   |   q = ___        ← fill these first</t>
        </is>
      </c>
      <c r="C10" s="11" t="n"/>
      <c r="D10" s="11" t="n"/>
      <c r="E10" s="11" t="n"/>
      <c r="F10" s="11" t="n"/>
    </row>
    <row r="11"/>
    <row r="12" ht="22" customHeight="1">
      <c r="B12" s="7" t="inlineStr">
        <is>
          <t>Part</t>
        </is>
      </c>
      <c r="C12" s="7" t="inlineStr">
        <is>
          <t>Question</t>
        </is>
      </c>
      <c r="D12" s="7" t="inlineStr">
        <is>
          <t>Type your Excel formula here</t>
        </is>
      </c>
      <c r="E12" s="7" t="inlineStr">
        <is>
          <t>Your answer</t>
        </is>
      </c>
      <c r="F12" s="7" t="inlineStr">
        <is>
          <t>Guidance</t>
        </is>
      </c>
    </row>
    <row r="13" ht="48" customHeight="1">
      <c r="B13" s="15" t="inlineStr">
        <is>
          <t>(a)</t>
        </is>
      </c>
      <c r="C13" s="9" t="inlineStr">
        <is>
          <t>P(exactly 3 take public transport)
P(X = 3)</t>
        </is>
      </c>
      <c r="D13" s="23" t="n"/>
      <c r="E13" s="24" t="n"/>
      <c r="F13" s="25" t="inlineStr">
        <is>
          <t>Exact → FALSE</t>
        </is>
      </c>
    </row>
    <row r="14" ht="48" customHeight="1">
      <c r="B14" s="15" t="inlineStr">
        <is>
          <t>(b)</t>
        </is>
      </c>
      <c r="C14" s="9" t="inlineStr">
        <is>
          <t>P(at most 2)
P(X ≤ 2)</t>
        </is>
      </c>
      <c r="D14" s="23" t="n"/>
      <c r="E14" s="24" t="n"/>
      <c r="F14" s="25" t="inlineStr">
        <is>
          <t>"At most" → TRUE</t>
        </is>
      </c>
    </row>
    <row r="15" ht="48" customHeight="1">
      <c r="B15" s="15" t="inlineStr">
        <is>
          <t>(c)</t>
        </is>
      </c>
      <c r="C15" s="9" t="inlineStr">
        <is>
          <t>P(at least 5)
P(X ≥ 5)</t>
        </is>
      </c>
      <c r="D15" s="23" t="n"/>
      <c r="E15" s="24" t="n"/>
      <c r="F15" s="25" t="inlineStr">
        <is>
          <t>"At least" → 1 minus, use x − 1 inside</t>
        </is>
      </c>
    </row>
    <row r="16" ht="48" customHeight="1">
      <c r="B16" s="15" t="inlineStr">
        <is>
          <t>(d)</t>
        </is>
      </c>
      <c r="C16" s="9" t="inlineStr">
        <is>
          <t>P(more than 6)
P(X &gt; 6)</t>
        </is>
      </c>
      <c r="D16" s="23" t="n"/>
      <c r="E16" s="24" t="n"/>
      <c r="F16" s="25" t="inlineStr">
        <is>
          <t>"More than" → 1 minus, x stays</t>
        </is>
      </c>
    </row>
    <row r="17" ht="48" customHeight="1">
      <c r="B17" s="15" t="inlineStr">
        <is>
          <t>(e)</t>
        </is>
      </c>
      <c r="C17" s="9" t="inlineStr">
        <is>
          <t>P(fewer than 4)
P(X &lt; 4)</t>
        </is>
      </c>
      <c r="D17" s="23" t="n"/>
      <c r="E17" s="24" t="n"/>
      <c r="F17" s="25" t="inlineStr">
        <is>
          <t>"Fewer than" → x − 1 with TRUE</t>
        </is>
      </c>
    </row>
    <row r="18" ht="48" customHeight="1">
      <c r="B18" s="15" t="inlineStr">
        <is>
          <t>(f)</t>
        </is>
      </c>
      <c r="C18" s="9" t="inlineStr">
        <is>
          <t>P(between 2 and 4, inclusive)
P(2 ≤ X ≤ 4)</t>
        </is>
      </c>
      <c r="D18" s="23" t="n"/>
      <c r="E18" s="24" t="n"/>
      <c r="F18" s="25" t="inlineStr">
        <is>
          <t>Between → subtract two TRUE values</t>
        </is>
      </c>
    </row>
    <row r="19" ht="48" customHeight="1">
      <c r="B19" s="15" t="inlineStr">
        <is>
          <t>(g)</t>
        </is>
      </c>
      <c r="C19" s="9" t="inlineStr">
        <is>
          <t>P(at least one takes public transport)</t>
        </is>
      </c>
      <c r="D19" s="23" t="n"/>
      <c r="E19" s="24" t="n"/>
      <c r="F19" s="25" t="inlineStr">
        <is>
          <t>1 minus "none"</t>
        </is>
      </c>
    </row>
    <row r="20" ht="48" customHeight="1">
      <c r="B20" s="15" t="inlineStr">
        <is>
          <t>(h)</t>
        </is>
      </c>
      <c r="C20" s="9" t="inlineStr">
        <is>
          <t>Check (a) with the formula, without BINOM.DIST.</t>
        </is>
      </c>
      <c r="D20" s="23" t="n"/>
      <c r="E20" s="24" t="n"/>
      <c r="F20" s="25" t="inlineStr">
        <is>
          <t>Use =COMBIN(n, x) and powers ^</t>
        </is>
      </c>
    </row>
    <row r="21" ht="48" customHeight="1">
      <c r="B21" s="15" t="inlineStr">
        <is>
          <t>(i)</t>
        </is>
      </c>
      <c r="C21" s="9" t="inlineStr">
        <is>
          <t>Mean, Var and SD of X</t>
        </is>
      </c>
      <c r="D21" s="23" t="n"/>
      <c r="E21" s="24" t="n"/>
      <c r="F21" s="25" t="inlineStr">
        <is>
          <t>μ = n·p    σ² = n·p·q    σ = √(n·p·q)
Write all three in E</t>
        </is>
      </c>
    </row>
    <row r="22"/>
    <row r="23">
      <c r="B23" s="26" t="inlineStr">
        <is>
          <t>LEGEND</t>
        </is>
      </c>
    </row>
    <row r="24">
      <c r="B24" s="27" t="inlineStr">
        <is>
          <t>■  YELLOW = type your Excel formula</t>
        </is>
      </c>
      <c r="C24" s="11" t="n"/>
    </row>
    <row r="25">
      <c r="B25" s="28" t="inlineStr">
        <is>
          <t>■  ORANGE = write your answer (4 decimals) or your explanation</t>
        </is>
      </c>
      <c r="C25" s="29" t="n"/>
    </row>
  </sheetData>
  <mergeCells count="8">
    <mergeCell ref="B24:C24"/>
    <mergeCell ref="B7:F7"/>
    <mergeCell ref="B6:F6"/>
    <mergeCell ref="B2:F2"/>
    <mergeCell ref="B25:C25"/>
    <mergeCell ref="B10:F10"/>
    <mergeCell ref="B23:F23"/>
    <mergeCell ref="B8:F8"/>
  </mergeCells>
  <dataValidations count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18" customWidth="1" min="4" max="4"/>
    <col width="18" customWidth="1" min="5" max="5"/>
    <col width="16" customWidth="1" min="6" max="6"/>
    <col width="3" customWidth="1" min="7" max="7"/>
    <col width="46" customWidth="1" min="8" max="8"/>
  </cols>
  <sheetData>
    <row r="1"/>
    <row r="2" ht="30" customHeight="1">
      <c r="B2" s="1" t="inlineStr">
        <is>
          <t>Q3 · The whole binomial distribution</t>
        </is>
      </c>
    </row>
    <row r="3"/>
    <row r="4">
      <c r="B4" s="18" t="inlineStr">
        <is>
          <t>Name:</t>
        </is>
      </c>
      <c r="C4" s="19" t="n"/>
      <c r="D4" s="18" t="inlineStr">
        <is>
          <t>Student ID:</t>
        </is>
      </c>
      <c r="E4" s="19" t="n"/>
    </row>
    <row r="5"/>
    <row r="6">
      <c r="B6" s="3" t="inlineStr">
        <is>
          <t>SCENARIO — Late deliveries</t>
        </is>
      </c>
      <c r="C6" s="4" t="n"/>
      <c r="D6" s="4" t="n"/>
      <c r="E6" s="4" t="n"/>
      <c r="F6" s="4" t="n"/>
      <c r="G6" s="4" t="n"/>
      <c r="H6" s="4" t="n"/>
    </row>
    <row r="7" ht="30" customHeight="1">
      <c r="B7" s="22" t="inlineStr">
        <is>
          <t>A courier delivers 25% of parcels late. Six parcels are sent today. X = number of late parcels (n = 6, p = 0.25).</t>
        </is>
      </c>
      <c r="C7" s="4" t="n"/>
      <c r="D7" s="4" t="n"/>
      <c r="E7" s="4" t="n"/>
      <c r="F7" s="4" t="n"/>
      <c r="G7" s="4" t="n"/>
      <c r="H7" s="4" t="n"/>
    </row>
    <row r="8"/>
    <row r="9" ht="22" customHeight="1">
      <c r="C9" s="7" t="inlineStr">
        <is>
          <t>x</t>
        </is>
      </c>
      <c r="D9" s="7" t="inlineStr">
        <is>
          <t>P(X = x)</t>
        </is>
      </c>
      <c r="E9" s="7" t="inlineStr">
        <is>
          <t>P(X ≤ x)</t>
        </is>
      </c>
      <c r="F9" s="7" t="inlineStr">
        <is>
          <t>x · P(x)</t>
        </is>
      </c>
      <c r="H9" s="3" t="inlineStr">
        <is>
          <t>What to do</t>
        </is>
      </c>
    </row>
    <row r="10" ht="30" customHeight="1">
      <c r="C10" s="15" t="n">
        <v>0</v>
      </c>
      <c r="D10" s="30" t="n"/>
      <c r="E10" s="30" t="n"/>
      <c r="F10" s="30" t="n"/>
      <c r="H10" s="5" t="inlineStr">
        <is>
          <t>1. P(X = x): BINOM.DIST with FALSE. Click the x cell, lock n and p.</t>
        </is>
      </c>
    </row>
    <row r="11" ht="30" customHeight="1">
      <c r="C11" s="15" t="n">
        <v>1</v>
      </c>
      <c r="D11" s="30" t="n"/>
      <c r="E11" s="30" t="n"/>
      <c r="F11" s="30" t="n"/>
      <c r="H11" s="5" t="inlineStr">
        <is>
          <t>2. P(X ≤ x): the same with TRUE.</t>
        </is>
      </c>
    </row>
    <row r="12" ht="30" customHeight="1">
      <c r="C12" s="15" t="n">
        <v>2</v>
      </c>
      <c r="D12" s="30" t="n"/>
      <c r="E12" s="30" t="n"/>
      <c r="F12" s="30" t="n"/>
      <c r="H12" s="5" t="inlineStr">
        <is>
          <t>3. Total of P(X = x) must be 1.</t>
        </is>
      </c>
    </row>
    <row r="13" ht="30" customHeight="1">
      <c r="C13" s="15" t="n">
        <v>3</v>
      </c>
      <c r="D13" s="30" t="n"/>
      <c r="E13" s="30" t="n"/>
      <c r="F13" s="30" t="n"/>
      <c r="H13" s="5" t="inlineStr">
        <is>
          <t>4. x · P(x): its Total is the mean. Compare with n·p.</t>
        </is>
      </c>
    </row>
    <row r="14" ht="30" customHeight="1">
      <c r="C14" s="15" t="n">
        <v>4</v>
      </c>
      <c r="D14" s="30" t="n"/>
      <c r="E14" s="30" t="n"/>
      <c r="F14" s="30" t="n"/>
      <c r="H14" s="5" t="inlineStr">
        <is>
          <t>5. Chart: select the x and P(X = x) columns → Insert → Column chart. Add a title and axis labels.</t>
        </is>
      </c>
    </row>
    <row r="15" ht="30" customHeight="1">
      <c r="C15" s="15" t="n">
        <v>5</v>
      </c>
      <c r="D15" s="30" t="n"/>
      <c r="E15" s="30" t="n"/>
      <c r="F15" s="30" t="n"/>
    </row>
    <row r="16" ht="30" customHeight="1">
      <c r="C16" s="15" t="n">
        <v>6</v>
      </c>
      <c r="D16" s="30" t="n"/>
      <c r="E16" s="30" t="n"/>
      <c r="F16" s="30" t="n"/>
    </row>
    <row r="17" ht="30" customHeight="1">
      <c r="C17" s="31" t="inlineStr">
        <is>
          <t>Total</t>
        </is>
      </c>
      <c r="D17" s="30" t="n"/>
      <c r="F17" s="30" t="n"/>
    </row>
    <row r="18"/>
    <row r="19" ht="22" customHeight="1">
      <c r="B19" s="7" t="inlineStr">
        <is>
          <t>Part</t>
        </is>
      </c>
      <c r="C19" s="7" t="inlineStr">
        <is>
          <t>Question</t>
        </is>
      </c>
      <c r="D19" s="32" t="n"/>
      <c r="E19" s="33" t="n"/>
      <c r="F19" s="7" t="inlineStr">
        <is>
          <t>Your answer</t>
        </is>
      </c>
    </row>
    <row r="20" ht="42" customHeight="1">
      <c r="B20" s="15" t="inlineStr">
        <is>
          <t>(a)</t>
        </is>
      </c>
      <c r="C20" s="9" t="inlineStr">
        <is>
          <t>Which number of late parcels is the most likely?</t>
        </is>
      </c>
      <c r="D20" s="34" t="n"/>
      <c r="E20" s="34" t="n"/>
      <c r="F20" s="35" t="n"/>
    </row>
    <row r="21" ht="42" customHeight="1">
      <c r="B21" s="15" t="inlineStr">
        <is>
          <t>(b)</t>
        </is>
      </c>
      <c r="C21" s="9" t="inlineStr">
        <is>
          <t>Mean from the table (Total of x·P(x)) and n·p: do they match?</t>
        </is>
      </c>
      <c r="D21" s="34" t="n"/>
      <c r="E21" s="34" t="n"/>
      <c r="F21" s="35" t="n"/>
    </row>
    <row r="22" ht="42" customHeight="1">
      <c r="B22" s="15" t="inlineStr">
        <is>
          <t>(c)</t>
        </is>
      </c>
      <c r="C22" s="9" t="inlineStr">
        <is>
          <t>Describe the shape of your chart: symmetric, right- or left-skewed? Why?</t>
        </is>
      </c>
      <c r="D22" s="34" t="n"/>
      <c r="E22" s="34" t="n"/>
      <c r="F22" s="35" t="n"/>
    </row>
    <row r="23" ht="42" customHeight="1">
      <c r="B23" s="15" t="inlineStr">
        <is>
          <t>(d)</t>
        </is>
      </c>
      <c r="C23" s="9" t="inlineStr">
        <is>
          <t>P(more than 2 late) from your table, without a new BINOM.DIST.</t>
        </is>
      </c>
      <c r="D23" s="34" t="n"/>
      <c r="E23" s="34" t="n"/>
      <c r="F23" s="35" t="n"/>
    </row>
    <row r="24"/>
    <row r="25">
      <c r="B25" s="26" t="inlineStr">
        <is>
          <t>LEGEND</t>
        </is>
      </c>
    </row>
    <row r="26">
      <c r="B26" s="27" t="inlineStr">
        <is>
          <t>■  YELLOW = type your Excel formula</t>
        </is>
      </c>
      <c r="C26" s="11" t="n"/>
      <c r="D26" s="11" t="n"/>
      <c r="E26" s="11" t="n"/>
    </row>
    <row r="27">
      <c r="B27" s="28" t="inlineStr">
        <is>
          <t>■  ORANGE = write your answer (4 decimals) or your explanation</t>
        </is>
      </c>
      <c r="C27" s="29" t="n"/>
      <c r="D27" s="29" t="n"/>
      <c r="E27" s="29" t="n"/>
    </row>
  </sheetData>
  <mergeCells count="17">
    <mergeCell ref="H13"/>
    <mergeCell ref="B26:E26"/>
    <mergeCell ref="H9"/>
    <mergeCell ref="B27:E27"/>
    <mergeCell ref="C19:E19"/>
    <mergeCell ref="H12"/>
    <mergeCell ref="C23:E23"/>
    <mergeCell ref="B25:F25"/>
    <mergeCell ref="C22:E22"/>
    <mergeCell ref="H11"/>
    <mergeCell ref="B6:H6"/>
    <mergeCell ref="B2:H2"/>
    <mergeCell ref="B7:H7"/>
    <mergeCell ref="C21:E21"/>
    <mergeCell ref="H10"/>
    <mergeCell ref="C20:E20"/>
    <mergeCell ref="H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2026-10-28T07:31:10Z</dcterms:created>
  <dcterms:modified xmlns:dcterms="http://purl.org/dc/terms/" xmlns:xsi="http://www.w3.org/2001/XMLSchema-instance" xsi:type="dcterms:W3CDTF">2026-10-28T07:31:10Z</dcterms:modified>
</cp:coreProperties>
</file>